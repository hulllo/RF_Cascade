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drawings/drawing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drawings/drawing7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drawings/drawing8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drawings/drawing9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drawings/drawing10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drawings/drawing1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drawings/drawing12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0" yWindow="0" windowWidth="21840" windowHeight="12135" tabRatio="716" activeTab="13"/>
  </bookViews>
  <sheets>
    <sheet name="摘要" sheetId="45" r:id="rId1"/>
    <sheet name="B1 PRX" sheetId="1" r:id="rId2"/>
    <sheet name="B1 DRX" sheetId="62" r:id="rId3"/>
    <sheet name="B3 PRX" sheetId="52" r:id="rId4"/>
    <sheet name="B3 DRX" sheetId="53" r:id="rId5"/>
    <sheet name="B7 PRX" sheetId="55" r:id="rId6"/>
    <sheet name="B7 DRX" sheetId="54" r:id="rId7"/>
    <sheet name="B8 PRX" sheetId="56" r:id="rId8"/>
    <sheet name="B8 DRX" sheetId="57" r:id="rId9"/>
    <sheet name="B20 PRX" sheetId="58" r:id="rId10"/>
    <sheet name="B20 DRX" sheetId="59" r:id="rId11"/>
    <sheet name="B38 PRX" sheetId="60" r:id="rId12"/>
    <sheet name="B38 DRX" sheetId="61" r:id="rId13"/>
    <sheet name="数据源" sheetId="2" r:id="rId14"/>
  </sheets>
  <externalReferences>
    <externalReference r:id="rId15"/>
  </externalReferences>
  <calcPr calcId="145621"/>
</workbook>
</file>

<file path=xl/calcChain.xml><?xml version="1.0" encoding="utf-8"?>
<calcChain xmlns="http://schemas.openxmlformats.org/spreadsheetml/2006/main">
  <c r="A149" i="2" l="1"/>
  <c r="B149" i="2"/>
  <c r="C149" i="2"/>
  <c r="D149" i="2"/>
  <c r="E149" i="2"/>
  <c r="F149" i="2"/>
  <c r="G149" i="2"/>
  <c r="H149" i="2"/>
  <c r="A150" i="2"/>
  <c r="B150" i="2"/>
  <c r="C150" i="2"/>
  <c r="D150" i="2"/>
  <c r="E150" i="2"/>
  <c r="F150" i="2"/>
  <c r="G150" i="2"/>
  <c r="H150" i="2"/>
  <c r="A151" i="2"/>
  <c r="B151" i="2"/>
  <c r="C151" i="2"/>
  <c r="D151" i="2"/>
  <c r="E151" i="2"/>
  <c r="F151" i="2"/>
  <c r="G151" i="2"/>
  <c r="H151" i="2"/>
  <c r="A152" i="2"/>
  <c r="B152" i="2"/>
  <c r="C152" i="2"/>
  <c r="D152" i="2"/>
  <c r="E152" i="2"/>
  <c r="F152" i="2"/>
  <c r="G152" i="2"/>
  <c r="H152" i="2"/>
  <c r="A153" i="2"/>
  <c r="B153" i="2"/>
  <c r="C153" i="2"/>
  <c r="D153" i="2"/>
  <c r="E153" i="2"/>
  <c r="F153" i="2"/>
  <c r="G153" i="2"/>
  <c r="H153" i="2"/>
  <c r="A154" i="2"/>
  <c r="B154" i="2"/>
  <c r="C154" i="2"/>
  <c r="D154" i="2"/>
  <c r="E154" i="2"/>
  <c r="F154" i="2"/>
  <c r="G154" i="2"/>
  <c r="H154" i="2"/>
  <c r="A155" i="2"/>
  <c r="B155" i="2"/>
  <c r="C155" i="2"/>
  <c r="D155" i="2"/>
  <c r="E155" i="2"/>
  <c r="F155" i="2"/>
  <c r="G155" i="2"/>
  <c r="H155" i="2"/>
  <c r="A156" i="2"/>
  <c r="B156" i="2"/>
  <c r="C156" i="2"/>
  <c r="D156" i="2"/>
  <c r="E156" i="2"/>
  <c r="F156" i="2"/>
  <c r="G156" i="2"/>
  <c r="H156" i="2"/>
  <c r="A157" i="2"/>
  <c r="B157" i="2"/>
  <c r="C157" i="2"/>
  <c r="D157" i="2"/>
  <c r="E157" i="2"/>
  <c r="F157" i="2"/>
  <c r="G157" i="2"/>
  <c r="H157" i="2"/>
  <c r="A158" i="2"/>
  <c r="B158" i="2"/>
  <c r="C158" i="2"/>
  <c r="D158" i="2"/>
  <c r="E158" i="2"/>
  <c r="F158" i="2"/>
  <c r="G158" i="2"/>
  <c r="H158" i="2"/>
  <c r="A159" i="2"/>
  <c r="B159" i="2"/>
  <c r="C159" i="2"/>
  <c r="D159" i="2"/>
  <c r="E159" i="2"/>
  <c r="F159" i="2"/>
  <c r="G159" i="2"/>
  <c r="H159" i="2"/>
  <c r="A160" i="2"/>
  <c r="B160" i="2"/>
  <c r="C160" i="2"/>
  <c r="D160" i="2"/>
  <c r="E160" i="2"/>
  <c r="F160" i="2"/>
  <c r="G160" i="2"/>
  <c r="H160" i="2"/>
  <c r="A161" i="2"/>
  <c r="B161" i="2"/>
  <c r="C161" i="2"/>
  <c r="D161" i="2"/>
  <c r="E161" i="2"/>
  <c r="F161" i="2"/>
  <c r="G161" i="2"/>
  <c r="H161" i="2"/>
  <c r="A162" i="2"/>
  <c r="B162" i="2"/>
  <c r="C162" i="2"/>
  <c r="D162" i="2"/>
  <c r="E162" i="2"/>
  <c r="F162" i="2"/>
  <c r="G162" i="2"/>
  <c r="H162" i="2"/>
  <c r="A163" i="2"/>
  <c r="B163" i="2"/>
  <c r="C163" i="2"/>
  <c r="D163" i="2"/>
  <c r="E163" i="2"/>
  <c r="F163" i="2"/>
  <c r="G163" i="2"/>
  <c r="H163" i="2"/>
  <c r="A138" i="2"/>
  <c r="B138" i="2"/>
  <c r="C138" i="2"/>
  <c r="D138" i="2"/>
  <c r="E138" i="2"/>
  <c r="F138" i="2"/>
  <c r="G138" i="2"/>
  <c r="H138" i="2"/>
  <c r="A139" i="2"/>
  <c r="B139" i="2"/>
  <c r="C139" i="2"/>
  <c r="D139" i="2"/>
  <c r="E139" i="2"/>
  <c r="F139" i="2"/>
  <c r="G139" i="2"/>
  <c r="H139" i="2"/>
  <c r="A140" i="2"/>
  <c r="B140" i="2"/>
  <c r="C140" i="2"/>
  <c r="D140" i="2"/>
  <c r="E140" i="2"/>
  <c r="F140" i="2"/>
  <c r="G140" i="2"/>
  <c r="H140" i="2"/>
  <c r="A141" i="2"/>
  <c r="B141" i="2"/>
  <c r="C141" i="2"/>
  <c r="D141" i="2"/>
  <c r="E141" i="2"/>
  <c r="F141" i="2"/>
  <c r="G141" i="2"/>
  <c r="H141" i="2"/>
  <c r="A142" i="2"/>
  <c r="B142" i="2"/>
  <c r="C142" i="2"/>
  <c r="D142" i="2"/>
  <c r="E142" i="2"/>
  <c r="F142" i="2"/>
  <c r="G142" i="2"/>
  <c r="H142" i="2"/>
  <c r="A143" i="2"/>
  <c r="B143" i="2"/>
  <c r="C143" i="2"/>
  <c r="D143" i="2"/>
  <c r="E143" i="2"/>
  <c r="F143" i="2"/>
  <c r="G143" i="2"/>
  <c r="H143" i="2"/>
  <c r="A144" i="2"/>
  <c r="B144" i="2"/>
  <c r="C144" i="2"/>
  <c r="D144" i="2"/>
  <c r="E144" i="2"/>
  <c r="F144" i="2"/>
  <c r="G144" i="2"/>
  <c r="H144" i="2"/>
  <c r="A145" i="2"/>
  <c r="B145" i="2"/>
  <c r="C145" i="2"/>
  <c r="D145" i="2"/>
  <c r="E145" i="2"/>
  <c r="F145" i="2"/>
  <c r="G145" i="2"/>
  <c r="H145" i="2"/>
  <c r="A146" i="2"/>
  <c r="B146" i="2"/>
  <c r="C146" i="2"/>
  <c r="D146" i="2"/>
  <c r="E146" i="2"/>
  <c r="F146" i="2"/>
  <c r="G146" i="2"/>
  <c r="H146" i="2"/>
  <c r="A147" i="2"/>
  <c r="B147" i="2"/>
  <c r="C147" i="2"/>
  <c r="D147" i="2"/>
  <c r="E147" i="2"/>
  <c r="F147" i="2"/>
  <c r="G147" i="2"/>
  <c r="H147" i="2"/>
  <c r="A148" i="2"/>
  <c r="B148" i="2"/>
  <c r="C148" i="2"/>
  <c r="D148" i="2"/>
  <c r="E148" i="2"/>
  <c r="F148" i="2"/>
  <c r="G148" i="2"/>
  <c r="H148" i="2"/>
  <c r="M29" i="62" l="1"/>
  <c r="D16" i="62"/>
  <c r="D2" i="62"/>
  <c r="H137" i="2" l="1"/>
  <c r="G137" i="2"/>
  <c r="F137" i="2"/>
  <c r="E137" i="2"/>
  <c r="D137" i="2"/>
  <c r="C137" i="2"/>
  <c r="B137" i="2"/>
  <c r="A137" i="2"/>
  <c r="H136" i="2"/>
  <c r="G136" i="2"/>
  <c r="F136" i="2"/>
  <c r="E136" i="2"/>
  <c r="D136" i="2"/>
  <c r="C136" i="2"/>
  <c r="B136" i="2"/>
  <c r="A136" i="2"/>
  <c r="H135" i="2"/>
  <c r="G135" i="2"/>
  <c r="F135" i="2"/>
  <c r="E135" i="2"/>
  <c r="D135" i="2"/>
  <c r="C135" i="2"/>
  <c r="B135" i="2"/>
  <c r="A135" i="2"/>
  <c r="H134" i="2"/>
  <c r="G134" i="2"/>
  <c r="F134" i="2"/>
  <c r="E134" i="2"/>
  <c r="D134" i="2"/>
  <c r="C134" i="2"/>
  <c r="B134" i="2"/>
  <c r="A134" i="2"/>
  <c r="H133" i="2"/>
  <c r="G133" i="2"/>
  <c r="F133" i="2"/>
  <c r="E133" i="2"/>
  <c r="D133" i="2"/>
  <c r="C133" i="2"/>
  <c r="B133" i="2"/>
  <c r="A133" i="2"/>
  <c r="H132" i="2"/>
  <c r="G132" i="2"/>
  <c r="F132" i="2"/>
  <c r="E132" i="2"/>
  <c r="D132" i="2"/>
  <c r="C132" i="2"/>
  <c r="B132" i="2"/>
  <c r="A132" i="2"/>
  <c r="H131" i="2"/>
  <c r="G131" i="2"/>
  <c r="F131" i="2"/>
  <c r="E131" i="2"/>
  <c r="D131" i="2"/>
  <c r="C131" i="2"/>
  <c r="B131" i="2"/>
  <c r="A131" i="2"/>
  <c r="H130" i="2"/>
  <c r="G130" i="2"/>
  <c r="F130" i="2"/>
  <c r="E130" i="2"/>
  <c r="D130" i="2"/>
  <c r="C130" i="2"/>
  <c r="B130" i="2"/>
  <c r="A130" i="2"/>
  <c r="H129" i="2"/>
  <c r="G129" i="2"/>
  <c r="F129" i="2"/>
  <c r="E129" i="2"/>
  <c r="D129" i="2"/>
  <c r="C129" i="2"/>
  <c r="B129" i="2"/>
  <c r="A129" i="2"/>
  <c r="H128" i="2"/>
  <c r="G128" i="2"/>
  <c r="F128" i="2"/>
  <c r="E128" i="2"/>
  <c r="D128" i="2"/>
  <c r="C128" i="2"/>
  <c r="B128" i="2"/>
  <c r="A128" i="2"/>
  <c r="H127" i="2"/>
  <c r="G127" i="2"/>
  <c r="F127" i="2"/>
  <c r="E127" i="2"/>
  <c r="D127" i="2"/>
  <c r="C127" i="2"/>
  <c r="B127" i="2"/>
  <c r="A127" i="2"/>
  <c r="H126" i="2"/>
  <c r="G126" i="2"/>
  <c r="F126" i="2"/>
  <c r="E126" i="2"/>
  <c r="D126" i="2"/>
  <c r="C126" i="2"/>
  <c r="B126" i="2"/>
  <c r="A126" i="2"/>
  <c r="H125" i="2"/>
  <c r="G125" i="2"/>
  <c r="F125" i="2"/>
  <c r="E125" i="2"/>
  <c r="D125" i="2"/>
  <c r="C125" i="2"/>
  <c r="B125" i="2"/>
  <c r="A125" i="2"/>
  <c r="H124" i="2"/>
  <c r="G124" i="2"/>
  <c r="F124" i="2"/>
  <c r="E124" i="2"/>
  <c r="D124" i="2"/>
  <c r="C124" i="2"/>
  <c r="B124" i="2"/>
  <c r="A124" i="2"/>
  <c r="H123" i="2"/>
  <c r="G123" i="2"/>
  <c r="F123" i="2"/>
  <c r="E123" i="2"/>
  <c r="D123" i="2"/>
  <c r="C123" i="2"/>
  <c r="B123" i="2"/>
  <c r="A123" i="2"/>
  <c r="H122" i="2"/>
  <c r="G122" i="2"/>
  <c r="F122" i="2"/>
  <c r="E122" i="2"/>
  <c r="D122" i="2"/>
  <c r="C122" i="2"/>
  <c r="B122" i="2"/>
  <c r="A122" i="2"/>
  <c r="H121" i="2"/>
  <c r="G121" i="2"/>
  <c r="F121" i="2"/>
  <c r="E121" i="2"/>
  <c r="D121" i="2"/>
  <c r="C121" i="2"/>
  <c r="B121" i="2"/>
  <c r="A121" i="2"/>
  <c r="H120" i="2"/>
  <c r="G120" i="2"/>
  <c r="F120" i="2"/>
  <c r="E120" i="2"/>
  <c r="D120" i="2"/>
  <c r="C120" i="2"/>
  <c r="B120" i="2"/>
  <c r="A120" i="2"/>
  <c r="H119" i="2"/>
  <c r="G119" i="2"/>
  <c r="F119" i="2"/>
  <c r="E119" i="2"/>
  <c r="D119" i="2"/>
  <c r="C119" i="2"/>
  <c r="B119" i="2"/>
  <c r="A119" i="2"/>
  <c r="H118" i="2"/>
  <c r="G118" i="2"/>
  <c r="F118" i="2"/>
  <c r="E118" i="2"/>
  <c r="D118" i="2"/>
  <c r="C118" i="2"/>
  <c r="B118" i="2"/>
  <c r="A118" i="2"/>
  <c r="H117" i="2"/>
  <c r="G117" i="2"/>
  <c r="F117" i="2"/>
  <c r="E117" i="2"/>
  <c r="D117" i="2"/>
  <c r="C117" i="2"/>
  <c r="B117" i="2"/>
  <c r="A117" i="2"/>
  <c r="H116" i="2"/>
  <c r="G116" i="2"/>
  <c r="F116" i="2"/>
  <c r="E116" i="2"/>
  <c r="D116" i="2"/>
  <c r="C116" i="2"/>
  <c r="B116" i="2"/>
  <c r="A116" i="2"/>
  <c r="H115" i="2"/>
  <c r="G115" i="2"/>
  <c r="F115" i="2"/>
  <c r="E115" i="2"/>
  <c r="D115" i="2"/>
  <c r="C115" i="2"/>
  <c r="B115" i="2"/>
  <c r="A115" i="2"/>
  <c r="H114" i="2"/>
  <c r="G114" i="2"/>
  <c r="F114" i="2"/>
  <c r="E114" i="2"/>
  <c r="D114" i="2"/>
  <c r="C114" i="2"/>
  <c r="B114" i="2"/>
  <c r="A114" i="2"/>
  <c r="H113" i="2"/>
  <c r="G113" i="2"/>
  <c r="F113" i="2"/>
  <c r="E113" i="2"/>
  <c r="D113" i="2"/>
  <c r="C113" i="2"/>
  <c r="B113" i="2"/>
  <c r="A113" i="2"/>
  <c r="H112" i="2"/>
  <c r="G112" i="2"/>
  <c r="F112" i="2"/>
  <c r="E112" i="2"/>
  <c r="D112" i="2"/>
  <c r="C112" i="2"/>
  <c r="B112" i="2"/>
  <c r="A112" i="2"/>
  <c r="H111" i="2"/>
  <c r="G111" i="2"/>
  <c r="F111" i="2"/>
  <c r="E111" i="2"/>
  <c r="D111" i="2"/>
  <c r="C111" i="2"/>
  <c r="B111" i="2"/>
  <c r="A111" i="2"/>
  <c r="H110" i="2"/>
  <c r="G110" i="2"/>
  <c r="F110" i="2"/>
  <c r="E110" i="2"/>
  <c r="D110" i="2"/>
  <c r="C110" i="2"/>
  <c r="B110" i="2"/>
  <c r="A110" i="2"/>
  <c r="H109" i="2"/>
  <c r="G109" i="2"/>
  <c r="F109" i="2"/>
  <c r="E109" i="2"/>
  <c r="D109" i="2"/>
  <c r="C109" i="2"/>
  <c r="B109" i="2"/>
  <c r="A109" i="2"/>
  <c r="H108" i="2"/>
  <c r="G108" i="2"/>
  <c r="F108" i="2"/>
  <c r="E108" i="2"/>
  <c r="D108" i="2"/>
  <c r="C108" i="2"/>
  <c r="B108" i="2"/>
  <c r="A108" i="2"/>
  <c r="H107" i="2"/>
  <c r="G107" i="2"/>
  <c r="F107" i="2"/>
  <c r="E107" i="2"/>
  <c r="D107" i="2"/>
  <c r="C107" i="2"/>
  <c r="B107" i="2"/>
  <c r="A107" i="2"/>
  <c r="H106" i="2"/>
  <c r="G106" i="2"/>
  <c r="F106" i="2"/>
  <c r="E106" i="2"/>
  <c r="D106" i="2"/>
  <c r="C106" i="2"/>
  <c r="B106" i="2"/>
  <c r="A106" i="2"/>
  <c r="H105" i="2"/>
  <c r="G105" i="2"/>
  <c r="F105" i="2"/>
  <c r="E105" i="2"/>
  <c r="D105" i="2"/>
  <c r="C105" i="2"/>
  <c r="B105" i="2"/>
  <c r="A105" i="2"/>
  <c r="H104" i="2"/>
  <c r="G104" i="2"/>
  <c r="F104" i="2"/>
  <c r="E104" i="2"/>
  <c r="D104" i="2"/>
  <c r="C104" i="2"/>
  <c r="B104" i="2"/>
  <c r="A104" i="2"/>
  <c r="H103" i="2"/>
  <c r="G103" i="2"/>
  <c r="F103" i="2"/>
  <c r="E103" i="2"/>
  <c r="D103" i="2"/>
  <c r="C103" i="2"/>
  <c r="B103" i="2"/>
  <c r="A103" i="2"/>
  <c r="H102" i="2"/>
  <c r="G102" i="2"/>
  <c r="F102" i="2"/>
  <c r="E102" i="2"/>
  <c r="D102" i="2"/>
  <c r="C102" i="2"/>
  <c r="B102" i="2"/>
  <c r="A102" i="2"/>
  <c r="H101" i="2"/>
  <c r="G101" i="2"/>
  <c r="F101" i="2"/>
  <c r="E101" i="2"/>
  <c r="D101" i="2"/>
  <c r="C101" i="2"/>
  <c r="B101" i="2"/>
  <c r="A101" i="2"/>
  <c r="H100" i="2"/>
  <c r="G100" i="2"/>
  <c r="F100" i="2"/>
  <c r="E100" i="2"/>
  <c r="D100" i="2"/>
  <c r="C100" i="2"/>
  <c r="B100" i="2"/>
  <c r="A100" i="2"/>
  <c r="H99" i="2"/>
  <c r="G99" i="2"/>
  <c r="F99" i="2"/>
  <c r="E99" i="2"/>
  <c r="D99" i="2"/>
  <c r="C99" i="2"/>
  <c r="B99" i="2"/>
  <c r="A99" i="2"/>
  <c r="H98" i="2"/>
  <c r="G98" i="2"/>
  <c r="F98" i="2"/>
  <c r="E98" i="2"/>
  <c r="D98" i="2"/>
  <c r="C98" i="2"/>
  <c r="B98" i="2"/>
  <c r="A98" i="2"/>
  <c r="H97" i="2"/>
  <c r="G97" i="2"/>
  <c r="F97" i="2"/>
  <c r="E97" i="2"/>
  <c r="D97" i="2"/>
  <c r="C97" i="2"/>
  <c r="B97" i="2"/>
  <c r="A97" i="2"/>
  <c r="H96" i="2"/>
  <c r="G96" i="2"/>
  <c r="F96" i="2"/>
  <c r="E96" i="2"/>
  <c r="D96" i="2"/>
  <c r="C96" i="2"/>
  <c r="B96" i="2"/>
  <c r="A96" i="2"/>
  <c r="H95" i="2"/>
  <c r="G95" i="2"/>
  <c r="F95" i="2"/>
  <c r="E95" i="2"/>
  <c r="D95" i="2"/>
  <c r="C95" i="2"/>
  <c r="B95" i="2"/>
  <c r="A95" i="2"/>
  <c r="H94" i="2"/>
  <c r="G94" i="2"/>
  <c r="F94" i="2"/>
  <c r="E94" i="2"/>
  <c r="D94" i="2"/>
  <c r="C94" i="2"/>
  <c r="B94" i="2"/>
  <c r="A94" i="2"/>
  <c r="H93" i="2"/>
  <c r="G93" i="2"/>
  <c r="F93" i="2"/>
  <c r="E93" i="2"/>
  <c r="D93" i="2"/>
  <c r="C93" i="2"/>
  <c r="B93" i="2"/>
  <c r="A93" i="2"/>
  <c r="H92" i="2"/>
  <c r="G92" i="2"/>
  <c r="F92" i="2"/>
  <c r="E92" i="2"/>
  <c r="D92" i="2"/>
  <c r="C92" i="2"/>
  <c r="B92" i="2"/>
  <c r="A92" i="2"/>
  <c r="H91" i="2"/>
  <c r="G91" i="2"/>
  <c r="F91" i="2"/>
  <c r="E91" i="2"/>
  <c r="D91" i="2"/>
  <c r="C91" i="2"/>
  <c r="B91" i="2"/>
  <c r="A91" i="2"/>
  <c r="H90" i="2"/>
  <c r="G90" i="2"/>
  <c r="F90" i="2"/>
  <c r="E90" i="2"/>
  <c r="D90" i="2"/>
  <c r="C90" i="2"/>
  <c r="B90" i="2"/>
  <c r="A90" i="2"/>
  <c r="H89" i="2"/>
  <c r="G89" i="2"/>
  <c r="F89" i="2"/>
  <c r="E89" i="2"/>
  <c r="D89" i="2"/>
  <c r="C89" i="2"/>
  <c r="B89" i="2"/>
  <c r="A89" i="2"/>
  <c r="H88" i="2"/>
  <c r="G88" i="2"/>
  <c r="F88" i="2"/>
  <c r="E88" i="2"/>
  <c r="D88" i="2"/>
  <c r="C88" i="2"/>
  <c r="B88" i="2"/>
  <c r="A88" i="2"/>
  <c r="H87" i="2"/>
  <c r="G87" i="2"/>
  <c r="F87" i="2"/>
  <c r="E87" i="2"/>
  <c r="D87" i="2"/>
  <c r="C87" i="2"/>
  <c r="B87" i="2"/>
  <c r="A87" i="2"/>
  <c r="H86" i="2"/>
  <c r="G86" i="2"/>
  <c r="F86" i="2"/>
  <c r="E86" i="2"/>
  <c r="D86" i="2"/>
  <c r="C86" i="2"/>
  <c r="B86" i="2"/>
  <c r="A86" i="2"/>
  <c r="H85" i="2"/>
  <c r="G85" i="2"/>
  <c r="F85" i="2"/>
  <c r="E85" i="2"/>
  <c r="D85" i="2"/>
  <c r="C85" i="2"/>
  <c r="B85" i="2"/>
  <c r="A85" i="2"/>
  <c r="H84" i="2"/>
  <c r="G84" i="2"/>
  <c r="F84" i="2"/>
  <c r="E84" i="2"/>
  <c r="D84" i="2"/>
  <c r="C84" i="2"/>
  <c r="B84" i="2"/>
  <c r="A84" i="2"/>
  <c r="H83" i="2"/>
  <c r="G83" i="2"/>
  <c r="F83" i="2"/>
  <c r="E83" i="2"/>
  <c r="D83" i="2"/>
  <c r="C83" i="2"/>
  <c r="B83" i="2"/>
  <c r="A83" i="2"/>
  <c r="H82" i="2"/>
  <c r="G82" i="2"/>
  <c r="F82" i="2"/>
  <c r="E82" i="2"/>
  <c r="D82" i="2"/>
  <c r="C82" i="2"/>
  <c r="B82" i="2"/>
  <c r="A82" i="2"/>
  <c r="H81" i="2"/>
  <c r="G81" i="2"/>
  <c r="F81" i="2"/>
  <c r="E81" i="2"/>
  <c r="D81" i="2"/>
  <c r="C81" i="2"/>
  <c r="B81" i="2"/>
  <c r="A81" i="2"/>
  <c r="H80" i="2"/>
  <c r="G80" i="2"/>
  <c r="F80" i="2"/>
  <c r="E80" i="2"/>
  <c r="D80" i="2"/>
  <c r="C80" i="2"/>
  <c r="B80" i="2"/>
  <c r="A80" i="2"/>
  <c r="H79" i="2"/>
  <c r="G79" i="2"/>
  <c r="F79" i="2"/>
  <c r="E79" i="2"/>
  <c r="D79" i="2"/>
  <c r="C79" i="2"/>
  <c r="B79" i="2"/>
  <c r="A79" i="2"/>
  <c r="H78" i="2"/>
  <c r="G78" i="2"/>
  <c r="F78" i="2"/>
  <c r="E78" i="2"/>
  <c r="D78" i="2"/>
  <c r="C78" i="2"/>
  <c r="B78" i="2"/>
  <c r="A78" i="2"/>
  <c r="H77" i="2"/>
  <c r="G77" i="2"/>
  <c r="F77" i="2"/>
  <c r="E77" i="2"/>
  <c r="D77" i="2"/>
  <c r="C77" i="2"/>
  <c r="B77" i="2"/>
  <c r="A77" i="2"/>
  <c r="H76" i="2"/>
  <c r="G76" i="2"/>
  <c r="F76" i="2"/>
  <c r="E76" i="2"/>
  <c r="D76" i="2"/>
  <c r="C76" i="2"/>
  <c r="B76" i="2"/>
  <c r="A76" i="2"/>
  <c r="H75" i="2"/>
  <c r="G75" i="2"/>
  <c r="F75" i="2"/>
  <c r="E75" i="2"/>
  <c r="D75" i="2"/>
  <c r="C75" i="2"/>
  <c r="B75" i="2"/>
  <c r="A75" i="2"/>
  <c r="H74" i="2"/>
  <c r="G74" i="2"/>
  <c r="F74" i="2"/>
  <c r="E74" i="2"/>
  <c r="D74" i="2"/>
  <c r="C74" i="2"/>
  <c r="B74" i="2"/>
  <c r="A74" i="2"/>
  <c r="H73" i="2"/>
  <c r="G73" i="2"/>
  <c r="F73" i="2"/>
  <c r="E73" i="2"/>
  <c r="D73" i="2"/>
  <c r="C73" i="2"/>
  <c r="B73" i="2"/>
  <c r="A73" i="2"/>
  <c r="H72" i="2"/>
  <c r="G72" i="2"/>
  <c r="F72" i="2"/>
  <c r="E72" i="2"/>
  <c r="D72" i="2"/>
  <c r="C72" i="2"/>
  <c r="B72" i="2"/>
  <c r="A72" i="2"/>
  <c r="H71" i="2"/>
  <c r="G71" i="2"/>
  <c r="F71" i="2"/>
  <c r="E71" i="2"/>
  <c r="D71" i="2"/>
  <c r="C71" i="2"/>
  <c r="B71" i="2"/>
  <c r="A71" i="2"/>
  <c r="H70" i="2"/>
  <c r="G70" i="2"/>
  <c r="F70" i="2"/>
  <c r="E70" i="2"/>
  <c r="D70" i="2"/>
  <c r="C70" i="2"/>
  <c r="B70" i="2"/>
  <c r="A70" i="2"/>
  <c r="H69" i="2"/>
  <c r="G69" i="2"/>
  <c r="F69" i="2"/>
  <c r="E69" i="2"/>
  <c r="D69" i="2"/>
  <c r="C69" i="2"/>
  <c r="B69" i="2"/>
  <c r="A69" i="2"/>
  <c r="H68" i="2"/>
  <c r="G68" i="2"/>
  <c r="F68" i="2"/>
  <c r="E68" i="2"/>
  <c r="D68" i="2"/>
  <c r="C68" i="2"/>
  <c r="B68" i="2"/>
  <c r="A68" i="2"/>
  <c r="H67" i="2"/>
  <c r="G67" i="2"/>
  <c r="F67" i="2"/>
  <c r="E67" i="2"/>
  <c r="D67" i="2"/>
  <c r="C67" i="2"/>
  <c r="B67" i="2"/>
  <c r="A67" i="2"/>
  <c r="H66" i="2"/>
  <c r="G66" i="2"/>
  <c r="F66" i="2"/>
  <c r="E66" i="2"/>
  <c r="D66" i="2"/>
  <c r="C66" i="2"/>
  <c r="B66" i="2"/>
  <c r="A66" i="2"/>
  <c r="H65" i="2"/>
  <c r="G65" i="2"/>
  <c r="F65" i="2"/>
  <c r="E65" i="2"/>
  <c r="D65" i="2"/>
  <c r="C65" i="2"/>
  <c r="B65" i="2"/>
  <c r="A65" i="2"/>
  <c r="H64" i="2"/>
  <c r="G64" i="2"/>
  <c r="F64" i="2"/>
  <c r="E64" i="2"/>
  <c r="D64" i="2"/>
  <c r="C64" i="2"/>
  <c r="B64" i="2"/>
  <c r="A64" i="2"/>
  <c r="H63" i="2"/>
  <c r="G63" i="2"/>
  <c r="F63" i="2"/>
  <c r="E63" i="2"/>
  <c r="D63" i="2"/>
  <c r="C63" i="2"/>
  <c r="B63" i="2"/>
  <c r="A63" i="2"/>
  <c r="H62" i="2"/>
  <c r="G62" i="2"/>
  <c r="F62" i="2"/>
  <c r="E62" i="2"/>
  <c r="D62" i="2"/>
  <c r="C62" i="2"/>
  <c r="B62" i="2"/>
  <c r="A62" i="2"/>
  <c r="H61" i="2"/>
  <c r="G61" i="2"/>
  <c r="F61" i="2"/>
  <c r="E61" i="2"/>
  <c r="D61" i="2"/>
  <c r="C61" i="2"/>
  <c r="B61" i="2"/>
  <c r="A61" i="2"/>
  <c r="H60" i="2"/>
  <c r="G60" i="2"/>
  <c r="F60" i="2"/>
  <c r="E60" i="2"/>
  <c r="D60" i="2"/>
  <c r="C60" i="2"/>
  <c r="B60" i="2"/>
  <c r="A60" i="2"/>
  <c r="H59" i="2"/>
  <c r="G59" i="2"/>
  <c r="F59" i="2"/>
  <c r="E59" i="2"/>
  <c r="D59" i="2"/>
  <c r="C59" i="2"/>
  <c r="B59" i="2"/>
  <c r="A59" i="2"/>
  <c r="H58" i="2"/>
  <c r="G58" i="2"/>
  <c r="F58" i="2"/>
  <c r="E58" i="2"/>
  <c r="D58" i="2"/>
  <c r="C58" i="2"/>
  <c r="B58" i="2"/>
  <c r="A58" i="2"/>
  <c r="H57" i="2"/>
  <c r="G57" i="2"/>
  <c r="F57" i="2"/>
  <c r="E57" i="2"/>
  <c r="D57" i="2"/>
  <c r="C57" i="2"/>
  <c r="B57" i="2"/>
  <c r="A57" i="2"/>
  <c r="H56" i="2"/>
  <c r="G56" i="2"/>
  <c r="F56" i="2"/>
  <c r="E56" i="2"/>
  <c r="D56" i="2"/>
  <c r="C56" i="2"/>
  <c r="B56" i="2"/>
  <c r="A56" i="2"/>
  <c r="H55" i="2"/>
  <c r="G55" i="2"/>
  <c r="F55" i="2"/>
  <c r="E55" i="2"/>
  <c r="D55" i="2"/>
  <c r="C55" i="2"/>
  <c r="B55" i="2"/>
  <c r="A55" i="2"/>
  <c r="H54" i="2"/>
  <c r="G54" i="2"/>
  <c r="F54" i="2"/>
  <c r="E54" i="2"/>
  <c r="D54" i="2"/>
  <c r="C54" i="2"/>
  <c r="B54" i="2"/>
  <c r="A54" i="2"/>
  <c r="H53" i="2"/>
  <c r="G53" i="2"/>
  <c r="F53" i="2"/>
  <c r="E53" i="2"/>
  <c r="D53" i="2"/>
  <c r="C53" i="2"/>
  <c r="B53" i="2"/>
  <c r="A53" i="2"/>
  <c r="H52" i="2"/>
  <c r="G52" i="2"/>
  <c r="F52" i="2"/>
  <c r="E52" i="2"/>
  <c r="D52" i="2"/>
  <c r="C52" i="2"/>
  <c r="B52" i="2"/>
  <c r="A52" i="2"/>
  <c r="H51" i="2"/>
  <c r="G51" i="2"/>
  <c r="F51" i="2"/>
  <c r="E51" i="2"/>
  <c r="D51" i="2"/>
  <c r="C51" i="2"/>
  <c r="B51" i="2"/>
  <c r="A51" i="2"/>
  <c r="H50" i="2"/>
  <c r="G50" i="2"/>
  <c r="F50" i="2"/>
  <c r="E50" i="2"/>
  <c r="D50" i="2"/>
  <c r="C50" i="2"/>
  <c r="B50" i="2"/>
  <c r="A50" i="2"/>
  <c r="H49" i="2"/>
  <c r="G49" i="2"/>
  <c r="F49" i="2"/>
  <c r="E49" i="2"/>
  <c r="D49" i="2"/>
  <c r="C49" i="2"/>
  <c r="B49" i="2"/>
  <c r="A49" i="2"/>
  <c r="H48" i="2"/>
  <c r="G48" i="2"/>
  <c r="F48" i="2"/>
  <c r="E48" i="2"/>
  <c r="D48" i="2"/>
  <c r="C48" i="2"/>
  <c r="B48" i="2"/>
  <c r="A48" i="2"/>
  <c r="H47" i="2"/>
  <c r="G47" i="2"/>
  <c r="F47" i="2"/>
  <c r="E47" i="2"/>
  <c r="D47" i="2"/>
  <c r="C47" i="2"/>
  <c r="B47" i="2"/>
  <c r="A47" i="2"/>
  <c r="H46" i="2"/>
  <c r="G46" i="2"/>
  <c r="F46" i="2"/>
  <c r="E46" i="2"/>
  <c r="D46" i="2"/>
  <c r="C46" i="2"/>
  <c r="B46" i="2"/>
  <c r="A46" i="2"/>
  <c r="H45" i="2"/>
  <c r="G45" i="2"/>
  <c r="F45" i="2"/>
  <c r="E45" i="2"/>
  <c r="D45" i="2"/>
  <c r="C45" i="2"/>
  <c r="B45" i="2"/>
  <c r="A45" i="2"/>
  <c r="H44" i="2"/>
  <c r="G44" i="2"/>
  <c r="F44" i="2"/>
  <c r="E44" i="2"/>
  <c r="D44" i="2"/>
  <c r="C44" i="2"/>
  <c r="B44" i="2"/>
  <c r="A44" i="2"/>
  <c r="H43" i="2"/>
  <c r="G43" i="2"/>
  <c r="F43" i="2"/>
  <c r="E43" i="2"/>
  <c r="D43" i="2"/>
  <c r="C43" i="2"/>
  <c r="B43" i="2"/>
  <c r="A43" i="2"/>
  <c r="H42" i="2"/>
  <c r="G42" i="2"/>
  <c r="F42" i="2"/>
  <c r="E42" i="2"/>
  <c r="D42" i="2"/>
  <c r="C42" i="2"/>
  <c r="B42" i="2"/>
  <c r="A42" i="2"/>
  <c r="H41" i="2"/>
  <c r="G41" i="2"/>
  <c r="F41" i="2"/>
  <c r="E41" i="2"/>
  <c r="D41" i="2"/>
  <c r="C41" i="2"/>
  <c r="B41" i="2"/>
  <c r="A41" i="2"/>
  <c r="H40" i="2"/>
  <c r="G40" i="2"/>
  <c r="F40" i="2"/>
  <c r="E40" i="2"/>
  <c r="D40" i="2"/>
  <c r="C40" i="2"/>
  <c r="B40" i="2"/>
  <c r="A40" i="2"/>
  <c r="H39" i="2"/>
  <c r="G39" i="2"/>
  <c r="F39" i="2"/>
  <c r="E39" i="2"/>
  <c r="D39" i="2"/>
  <c r="C39" i="2"/>
  <c r="B39" i="2"/>
  <c r="A39" i="2"/>
  <c r="H38" i="2"/>
  <c r="G38" i="2"/>
  <c r="F38" i="2"/>
  <c r="E38" i="2"/>
  <c r="D38" i="2"/>
  <c r="C38" i="2"/>
  <c r="B38" i="2"/>
  <c r="A38" i="2"/>
  <c r="H37" i="2"/>
  <c r="G37" i="2"/>
  <c r="F37" i="2"/>
  <c r="E37" i="2"/>
  <c r="D37" i="2"/>
  <c r="C37" i="2"/>
  <c r="B37" i="2"/>
  <c r="A37" i="2"/>
  <c r="H36" i="2"/>
  <c r="G36" i="2"/>
  <c r="F36" i="2"/>
  <c r="E36" i="2"/>
  <c r="D36" i="2"/>
  <c r="C36" i="2"/>
  <c r="B36" i="2"/>
  <c r="A36" i="2"/>
  <c r="H35" i="2"/>
  <c r="G35" i="2"/>
  <c r="F35" i="2"/>
  <c r="E35" i="2"/>
  <c r="D35" i="2"/>
  <c r="C35" i="2"/>
  <c r="B35" i="2"/>
  <c r="A35" i="2"/>
  <c r="H34" i="2"/>
  <c r="G34" i="2"/>
  <c r="F34" i="2"/>
  <c r="E34" i="2"/>
  <c r="D34" i="2"/>
  <c r="C34" i="2"/>
  <c r="B34" i="2"/>
  <c r="A34" i="2"/>
  <c r="H33" i="2"/>
  <c r="G33" i="2"/>
  <c r="F33" i="2"/>
  <c r="E33" i="2"/>
  <c r="D33" i="2"/>
  <c r="C33" i="2"/>
  <c r="B33" i="2"/>
  <c r="A33" i="2"/>
  <c r="H32" i="2"/>
  <c r="G32" i="2"/>
  <c r="F32" i="2"/>
  <c r="E32" i="2"/>
  <c r="D32" i="2"/>
  <c r="C32" i="2"/>
  <c r="B32" i="2"/>
  <c r="A32" i="2"/>
  <c r="H31" i="2"/>
  <c r="G31" i="2"/>
  <c r="F31" i="2"/>
  <c r="E31" i="2"/>
  <c r="D31" i="2"/>
  <c r="C31" i="2"/>
  <c r="B31" i="2"/>
  <c r="A31" i="2"/>
  <c r="H30" i="2"/>
  <c r="G30" i="2"/>
  <c r="F30" i="2"/>
  <c r="E30" i="2"/>
  <c r="D30" i="2"/>
  <c r="C30" i="2"/>
  <c r="B30" i="2"/>
  <c r="A30" i="2"/>
  <c r="H29" i="2"/>
  <c r="G29" i="2"/>
  <c r="F29" i="2"/>
  <c r="E29" i="2"/>
  <c r="D29" i="2"/>
  <c r="C29" i="2"/>
  <c r="B29" i="2"/>
  <c r="A29" i="2"/>
  <c r="H28" i="2"/>
  <c r="G28" i="2"/>
  <c r="F28" i="2"/>
  <c r="E28" i="2"/>
  <c r="D28" i="2"/>
  <c r="C28" i="2"/>
  <c r="B28" i="2"/>
  <c r="A28" i="2"/>
  <c r="H27" i="2"/>
  <c r="G27" i="2"/>
  <c r="F27" i="2"/>
  <c r="E27" i="2"/>
  <c r="D27" i="2"/>
  <c r="C27" i="2"/>
  <c r="B27" i="2"/>
  <c r="A27" i="2"/>
  <c r="H26" i="2"/>
  <c r="G26" i="2"/>
  <c r="F26" i="2"/>
  <c r="E26" i="2"/>
  <c r="D26" i="2"/>
  <c r="C26" i="2"/>
  <c r="B26" i="2"/>
  <c r="A26" i="2"/>
  <c r="H25" i="2"/>
  <c r="G25" i="2"/>
  <c r="F25" i="2"/>
  <c r="E25" i="2"/>
  <c r="D25" i="2"/>
  <c r="C25" i="2"/>
  <c r="B25" i="2"/>
  <c r="A25" i="2"/>
  <c r="H24" i="2"/>
  <c r="G24" i="2"/>
  <c r="F24" i="2"/>
  <c r="E24" i="2"/>
  <c r="D24" i="2"/>
  <c r="C24" i="2"/>
  <c r="B24" i="2"/>
  <c r="A24" i="2"/>
  <c r="H23" i="2"/>
  <c r="G23" i="2"/>
  <c r="F23" i="2"/>
  <c r="E23" i="2"/>
  <c r="D23" i="2"/>
  <c r="C23" i="2"/>
  <c r="B23" i="2"/>
  <c r="A23" i="2"/>
  <c r="H22" i="2"/>
  <c r="G22" i="2"/>
  <c r="F22" i="2"/>
  <c r="E22" i="2"/>
  <c r="D22" i="2"/>
  <c r="C22" i="2"/>
  <c r="B22" i="2"/>
  <c r="A22" i="2"/>
  <c r="H21" i="2"/>
  <c r="G21" i="2"/>
  <c r="F21" i="2"/>
  <c r="E21" i="2"/>
  <c r="D21" i="2"/>
  <c r="C21" i="2"/>
  <c r="B21" i="2"/>
  <c r="A21" i="2"/>
  <c r="H20" i="2"/>
  <c r="G20" i="2"/>
  <c r="F20" i="2"/>
  <c r="E20" i="2"/>
  <c r="D20" i="2"/>
  <c r="C20" i="2"/>
  <c r="B20" i="2"/>
  <c r="A20" i="2"/>
  <c r="H19" i="2"/>
  <c r="G19" i="2"/>
  <c r="F19" i="2"/>
  <c r="E19" i="2"/>
  <c r="D19" i="2"/>
  <c r="C19" i="2"/>
  <c r="B19" i="2"/>
  <c r="A19" i="2"/>
  <c r="H18" i="2"/>
  <c r="G18" i="2"/>
  <c r="F18" i="2"/>
  <c r="E18" i="2"/>
  <c r="D18" i="2"/>
  <c r="C18" i="2"/>
  <c r="B18" i="2"/>
  <c r="A18" i="2"/>
  <c r="H17" i="2"/>
  <c r="G17" i="2"/>
  <c r="F17" i="2"/>
  <c r="E17" i="2"/>
  <c r="D17" i="2"/>
  <c r="C17" i="2"/>
  <c r="B17" i="2"/>
  <c r="A17" i="2"/>
  <c r="H16" i="2"/>
  <c r="G16" i="2"/>
  <c r="F16" i="2"/>
  <c r="E16" i="2"/>
  <c r="D16" i="2"/>
  <c r="C16" i="2"/>
  <c r="B16" i="2"/>
  <c r="A16" i="2"/>
  <c r="H15" i="2"/>
  <c r="G15" i="2"/>
  <c r="F15" i="2"/>
  <c r="E15" i="2"/>
  <c r="D15" i="2"/>
  <c r="C15" i="2"/>
  <c r="B15" i="2"/>
  <c r="A15" i="2"/>
  <c r="H14" i="2"/>
  <c r="G14" i="2"/>
  <c r="F14" i="2"/>
  <c r="E14" i="2"/>
  <c r="D14" i="2"/>
  <c r="C14" i="2"/>
  <c r="B14" i="2"/>
  <c r="A14" i="2"/>
  <c r="H13" i="2"/>
  <c r="G13" i="2"/>
  <c r="F13" i="2"/>
  <c r="E13" i="2"/>
  <c r="D13" i="2"/>
  <c r="C13" i="2"/>
  <c r="B13" i="2"/>
  <c r="A13" i="2"/>
  <c r="H12" i="2"/>
  <c r="G12" i="2"/>
  <c r="F12" i="2"/>
  <c r="E12" i="2"/>
  <c r="D12" i="2"/>
  <c r="C12" i="2"/>
  <c r="B12" i="2"/>
  <c r="A12" i="2"/>
  <c r="H11" i="2"/>
  <c r="G11" i="2"/>
  <c r="F11" i="2"/>
  <c r="E11" i="2"/>
  <c r="D11" i="2"/>
  <c r="C11" i="2"/>
  <c r="B11" i="2"/>
  <c r="A11" i="2"/>
  <c r="H10" i="2"/>
  <c r="G10" i="2"/>
  <c r="F10" i="2"/>
  <c r="E10" i="2"/>
  <c r="D10" i="2"/>
  <c r="C10" i="2"/>
  <c r="B10" i="2"/>
  <c r="A10" i="2"/>
  <c r="H9" i="2"/>
  <c r="G9" i="2"/>
  <c r="F9" i="2"/>
  <c r="E9" i="2"/>
  <c r="D9" i="2"/>
  <c r="C9" i="2"/>
  <c r="B9" i="2"/>
  <c r="A9" i="2"/>
  <c r="H8" i="2"/>
  <c r="G8" i="2"/>
  <c r="F8" i="2"/>
  <c r="E8" i="2"/>
  <c r="D8" i="2"/>
  <c r="C8" i="2"/>
  <c r="B8" i="2"/>
  <c r="A8" i="2"/>
  <c r="H7" i="2"/>
  <c r="G7" i="2"/>
  <c r="F7" i="2"/>
  <c r="E7" i="2"/>
  <c r="D7" i="2"/>
  <c r="C7" i="2"/>
  <c r="B7" i="2"/>
  <c r="A7" i="2"/>
  <c r="H6" i="2"/>
  <c r="G6" i="2"/>
  <c r="F6" i="2"/>
  <c r="E6" i="2"/>
  <c r="D6" i="2"/>
  <c r="C6" i="2"/>
  <c r="B6" i="2"/>
  <c r="A6" i="2"/>
  <c r="H5" i="2"/>
  <c r="G5" i="2"/>
  <c r="F5" i="2"/>
  <c r="E5" i="2"/>
  <c r="D5" i="2"/>
  <c r="C5" i="2"/>
  <c r="B5" i="2"/>
  <c r="A5" i="2"/>
  <c r="H4" i="2"/>
  <c r="G4" i="2"/>
  <c r="F4" i="2"/>
  <c r="E4" i="2"/>
  <c r="D4" i="2"/>
  <c r="C4" i="2"/>
  <c r="B4" i="2"/>
  <c r="A4" i="2"/>
  <c r="H3" i="2"/>
  <c r="G3" i="2"/>
  <c r="F3" i="2"/>
  <c r="E3" i="2"/>
  <c r="D3" i="2"/>
  <c r="C3" i="2"/>
  <c r="B3" i="2"/>
  <c r="A3" i="2"/>
  <c r="H2" i="2"/>
  <c r="G2" i="2"/>
  <c r="F2" i="2"/>
  <c r="E2" i="2"/>
  <c r="D2" i="2"/>
  <c r="C2" i="2"/>
  <c r="B2" i="2"/>
  <c r="A2" i="2"/>
  <c r="H1" i="2"/>
  <c r="G1" i="2"/>
  <c r="F1" i="2"/>
  <c r="E1" i="2"/>
  <c r="D1" i="2"/>
  <c r="C1" i="2"/>
  <c r="B1" i="2"/>
  <c r="A1" i="2"/>
  <c r="P11" i="62" l="1"/>
  <c r="L11" i="62"/>
  <c r="H11" i="62"/>
  <c r="D11" i="62"/>
  <c r="D15" i="62" s="1"/>
  <c r="O10" i="62"/>
  <c r="K10" i="62"/>
  <c r="G10" i="62"/>
  <c r="R9" i="62"/>
  <c r="N9" i="62"/>
  <c r="J9" i="62"/>
  <c r="F9" i="62"/>
  <c r="Q8" i="62"/>
  <c r="M8" i="62"/>
  <c r="I8" i="62"/>
  <c r="E8" i="62"/>
  <c r="O11" i="62"/>
  <c r="K11" i="62"/>
  <c r="G11" i="62"/>
  <c r="R10" i="62"/>
  <c r="N10" i="62"/>
  <c r="J10" i="62"/>
  <c r="F10" i="62"/>
  <c r="Q9" i="62"/>
  <c r="M9" i="62"/>
  <c r="I9" i="62"/>
  <c r="E9" i="62"/>
  <c r="P8" i="62"/>
  <c r="L8" i="62"/>
  <c r="H8" i="62"/>
  <c r="D8" i="62"/>
  <c r="R11" i="62"/>
  <c r="N11" i="62"/>
  <c r="J11" i="62"/>
  <c r="F11" i="62"/>
  <c r="Q10" i="62"/>
  <c r="M10" i="62"/>
  <c r="I10" i="62"/>
  <c r="E10" i="62"/>
  <c r="P9" i="62"/>
  <c r="L9" i="62"/>
  <c r="H9" i="62"/>
  <c r="D9" i="62"/>
  <c r="D13" i="62" s="1"/>
  <c r="O8" i="62"/>
  <c r="K8" i="62"/>
  <c r="G8" i="62"/>
  <c r="Q11" i="62"/>
  <c r="M11" i="62"/>
  <c r="I11" i="62"/>
  <c r="E11" i="62"/>
  <c r="P10" i="62"/>
  <c r="L10" i="62"/>
  <c r="H10" i="62"/>
  <c r="D10" i="62"/>
  <c r="D14" i="62" s="1"/>
  <c r="O9" i="62"/>
  <c r="K9" i="62"/>
  <c r="G9" i="62"/>
  <c r="R8" i="62"/>
  <c r="N8" i="62"/>
  <c r="J8" i="62"/>
  <c r="F8" i="62"/>
  <c r="G3" i="45"/>
  <c r="G4" i="45"/>
  <c r="G5" i="45"/>
  <c r="G6" i="45"/>
  <c r="G7" i="45"/>
  <c r="G8" i="45"/>
  <c r="F3" i="45"/>
  <c r="F4" i="45"/>
  <c r="F5" i="45"/>
  <c r="F6" i="45"/>
  <c r="F8" i="45"/>
  <c r="F7" i="45"/>
  <c r="D16" i="61"/>
  <c r="R11" i="61"/>
  <c r="Q11" i="61"/>
  <c r="P11" i="61"/>
  <c r="O11" i="61"/>
  <c r="N11" i="61"/>
  <c r="M11" i="61"/>
  <c r="L11" i="61"/>
  <c r="K11" i="61"/>
  <c r="J11" i="61"/>
  <c r="I11" i="61"/>
  <c r="H11" i="61"/>
  <c r="G11" i="61"/>
  <c r="F11" i="61"/>
  <c r="E11" i="61"/>
  <c r="D11" i="61"/>
  <c r="D15" i="61" s="1"/>
  <c r="R10" i="61"/>
  <c r="Q10" i="61"/>
  <c r="P10" i="61"/>
  <c r="O10" i="61"/>
  <c r="N10" i="61"/>
  <c r="M10" i="61"/>
  <c r="L10" i="61"/>
  <c r="K10" i="61"/>
  <c r="J10" i="61"/>
  <c r="I10" i="61"/>
  <c r="H10" i="61"/>
  <c r="G10" i="61"/>
  <c r="F10" i="61"/>
  <c r="E10" i="61"/>
  <c r="D10" i="61"/>
  <c r="R9" i="61"/>
  <c r="Q9" i="61"/>
  <c r="P9" i="61"/>
  <c r="O9" i="61"/>
  <c r="N9" i="61"/>
  <c r="M9" i="61"/>
  <c r="L9" i="61"/>
  <c r="K9" i="61"/>
  <c r="J9" i="61"/>
  <c r="I9" i="61"/>
  <c r="H9" i="61"/>
  <c r="G9" i="61"/>
  <c r="F9" i="61"/>
  <c r="E9" i="61"/>
  <c r="D9" i="61"/>
  <c r="D13" i="61" s="1"/>
  <c r="R8" i="61"/>
  <c r="Q8" i="61"/>
  <c r="P8" i="61"/>
  <c r="O8" i="61"/>
  <c r="N8" i="61"/>
  <c r="M8" i="61"/>
  <c r="L8" i="61"/>
  <c r="K8" i="61"/>
  <c r="J8" i="61"/>
  <c r="I8" i="61"/>
  <c r="H8" i="61"/>
  <c r="G8" i="61"/>
  <c r="F8" i="61"/>
  <c r="E8" i="61"/>
  <c r="D8" i="61"/>
  <c r="D17" i="61" s="1"/>
  <c r="E16" i="61" s="1"/>
  <c r="D2" i="61"/>
  <c r="M29" i="60"/>
  <c r="D16" i="60"/>
  <c r="R11" i="60"/>
  <c r="Q11" i="60"/>
  <c r="P11" i="60"/>
  <c r="O11" i="60"/>
  <c r="N11" i="60"/>
  <c r="M11" i="60"/>
  <c r="L11" i="60"/>
  <c r="K11" i="60"/>
  <c r="J11" i="60"/>
  <c r="I11" i="60"/>
  <c r="H11" i="60"/>
  <c r="G11" i="60"/>
  <c r="F11" i="60"/>
  <c r="E11" i="60"/>
  <c r="D11" i="60"/>
  <c r="D15" i="60" s="1"/>
  <c r="R10" i="60"/>
  <c r="Q10" i="60"/>
  <c r="P10" i="60"/>
  <c r="O10" i="60"/>
  <c r="N10" i="60"/>
  <c r="M10" i="60"/>
  <c r="L10" i="60"/>
  <c r="K10" i="60"/>
  <c r="J10" i="60"/>
  <c r="I10" i="60"/>
  <c r="H10" i="60"/>
  <c r="G10" i="60"/>
  <c r="F10" i="60"/>
  <c r="E10" i="60"/>
  <c r="D10" i="60"/>
  <c r="R9" i="60"/>
  <c r="Q9" i="60"/>
  <c r="P9" i="60"/>
  <c r="O9" i="60"/>
  <c r="N9" i="60"/>
  <c r="M9" i="60"/>
  <c r="L9" i="60"/>
  <c r="K9" i="60"/>
  <c r="J9" i="60"/>
  <c r="I9" i="60"/>
  <c r="H9" i="60"/>
  <c r="G9" i="60"/>
  <c r="F9" i="60"/>
  <c r="E9" i="60"/>
  <c r="D9" i="60"/>
  <c r="D13" i="60" s="1"/>
  <c r="R8" i="60"/>
  <c r="Q8" i="60"/>
  <c r="P8" i="60"/>
  <c r="O8" i="60"/>
  <c r="N8" i="60"/>
  <c r="M8" i="60"/>
  <c r="L8" i="60"/>
  <c r="K8" i="60"/>
  <c r="J8" i="60"/>
  <c r="I8" i="60"/>
  <c r="H8" i="60"/>
  <c r="G8" i="60"/>
  <c r="F8" i="60"/>
  <c r="E8" i="60"/>
  <c r="D8" i="60"/>
  <c r="D12" i="60" s="1"/>
  <c r="D2" i="60"/>
  <c r="D16" i="59"/>
  <c r="R11" i="59"/>
  <c r="Q11" i="59"/>
  <c r="P11" i="59"/>
  <c r="O11" i="59"/>
  <c r="N11" i="59"/>
  <c r="M11" i="59"/>
  <c r="L11" i="59"/>
  <c r="K11" i="59"/>
  <c r="J11" i="59"/>
  <c r="I11" i="59"/>
  <c r="H11" i="59"/>
  <c r="G11" i="59"/>
  <c r="F11" i="59"/>
  <c r="E11" i="59"/>
  <c r="D11" i="59"/>
  <c r="D15" i="59" s="1"/>
  <c r="R10" i="59"/>
  <c r="Q10" i="59"/>
  <c r="P10" i="59"/>
  <c r="O10" i="59"/>
  <c r="N10" i="59"/>
  <c r="M10" i="59"/>
  <c r="L10" i="59"/>
  <c r="K10" i="59"/>
  <c r="J10" i="59"/>
  <c r="I10" i="59"/>
  <c r="H10" i="59"/>
  <c r="G10" i="59"/>
  <c r="F10" i="59"/>
  <c r="E10" i="59"/>
  <c r="D10" i="59"/>
  <c r="R9" i="59"/>
  <c r="Q9" i="59"/>
  <c r="P9" i="59"/>
  <c r="O9" i="59"/>
  <c r="N9" i="59"/>
  <c r="M9" i="59"/>
  <c r="L9" i="59"/>
  <c r="K9" i="59"/>
  <c r="J9" i="59"/>
  <c r="I9" i="59"/>
  <c r="H9" i="59"/>
  <c r="G9" i="59"/>
  <c r="F9" i="59"/>
  <c r="E9" i="59"/>
  <c r="D9" i="59"/>
  <c r="D13" i="59" s="1"/>
  <c r="R8" i="59"/>
  <c r="Q8" i="59"/>
  <c r="P8" i="59"/>
  <c r="O8" i="59"/>
  <c r="N8" i="59"/>
  <c r="M8" i="59"/>
  <c r="L8" i="59"/>
  <c r="K8" i="59"/>
  <c r="J8" i="59"/>
  <c r="I8" i="59"/>
  <c r="H8" i="59"/>
  <c r="G8" i="59"/>
  <c r="F8" i="59"/>
  <c r="E8" i="59"/>
  <c r="D8" i="59"/>
  <c r="D12" i="59" s="1"/>
  <c r="D2" i="59"/>
  <c r="M29" i="58"/>
  <c r="D16" i="58"/>
  <c r="R11" i="58"/>
  <c r="Q11" i="58"/>
  <c r="P11" i="58"/>
  <c r="O11" i="58"/>
  <c r="N11" i="58"/>
  <c r="M11" i="58"/>
  <c r="L11" i="58"/>
  <c r="K11" i="58"/>
  <c r="J11" i="58"/>
  <c r="I11" i="58"/>
  <c r="H11" i="58"/>
  <c r="G11" i="58"/>
  <c r="F11" i="58"/>
  <c r="E11" i="58"/>
  <c r="D11" i="58"/>
  <c r="D15" i="58" s="1"/>
  <c r="R10" i="58"/>
  <c r="Q10" i="58"/>
  <c r="P10" i="58"/>
  <c r="O10" i="58"/>
  <c r="N10" i="58"/>
  <c r="M10" i="58"/>
  <c r="L10" i="58"/>
  <c r="K10" i="58"/>
  <c r="J10" i="58"/>
  <c r="I10" i="58"/>
  <c r="H10" i="58"/>
  <c r="G10" i="58"/>
  <c r="F10" i="58"/>
  <c r="E10" i="58"/>
  <c r="D10" i="58"/>
  <c r="R9" i="58"/>
  <c r="Q9" i="58"/>
  <c r="P9" i="58"/>
  <c r="O9" i="58"/>
  <c r="N9" i="58"/>
  <c r="M9" i="58"/>
  <c r="L9" i="58"/>
  <c r="K9" i="58"/>
  <c r="J9" i="58"/>
  <c r="I9" i="58"/>
  <c r="H9" i="58"/>
  <c r="G9" i="58"/>
  <c r="F9" i="58"/>
  <c r="E9" i="58"/>
  <c r="D9" i="58"/>
  <c r="D13" i="58" s="1"/>
  <c r="R8" i="58"/>
  <c r="Q8" i="58"/>
  <c r="P8" i="58"/>
  <c r="O8" i="58"/>
  <c r="N8" i="58"/>
  <c r="M8" i="58"/>
  <c r="L8" i="58"/>
  <c r="K8" i="58"/>
  <c r="J8" i="58"/>
  <c r="I8" i="58"/>
  <c r="H8" i="58"/>
  <c r="G8" i="58"/>
  <c r="F8" i="58"/>
  <c r="E8" i="58"/>
  <c r="D8" i="58"/>
  <c r="D12" i="58" s="1"/>
  <c r="D2" i="58"/>
  <c r="D16" i="57"/>
  <c r="R11" i="57"/>
  <c r="Q11" i="57"/>
  <c r="P11" i="57"/>
  <c r="O11" i="57"/>
  <c r="N11" i="57"/>
  <c r="M11" i="57"/>
  <c r="L11" i="57"/>
  <c r="K11" i="57"/>
  <c r="J11" i="57"/>
  <c r="I11" i="57"/>
  <c r="H11" i="57"/>
  <c r="G11" i="57"/>
  <c r="F11" i="57"/>
  <c r="E11" i="57"/>
  <c r="D11" i="57"/>
  <c r="D15" i="57" s="1"/>
  <c r="R10" i="57"/>
  <c r="Q10" i="57"/>
  <c r="P10" i="57"/>
  <c r="O10" i="57"/>
  <c r="N10" i="57"/>
  <c r="M10" i="57"/>
  <c r="L10" i="57"/>
  <c r="K10" i="57"/>
  <c r="J10" i="57"/>
  <c r="I10" i="57"/>
  <c r="H10" i="57"/>
  <c r="G10" i="57"/>
  <c r="F10" i="57"/>
  <c r="E10" i="57"/>
  <c r="D10" i="57"/>
  <c r="R9" i="57"/>
  <c r="Q9" i="57"/>
  <c r="P9" i="57"/>
  <c r="O9" i="57"/>
  <c r="N9" i="57"/>
  <c r="M9" i="57"/>
  <c r="L9" i="57"/>
  <c r="K9" i="57"/>
  <c r="J9" i="57"/>
  <c r="I9" i="57"/>
  <c r="H9" i="57"/>
  <c r="G9" i="57"/>
  <c r="F9" i="57"/>
  <c r="E9" i="57"/>
  <c r="D9" i="57"/>
  <c r="D13" i="57" s="1"/>
  <c r="R8" i="57"/>
  <c r="Q8" i="57"/>
  <c r="P8" i="57"/>
  <c r="O8" i="57"/>
  <c r="N8" i="57"/>
  <c r="M8" i="57"/>
  <c r="L8" i="57"/>
  <c r="K8" i="57"/>
  <c r="J8" i="57"/>
  <c r="I8" i="57"/>
  <c r="H8" i="57"/>
  <c r="G8" i="57"/>
  <c r="F8" i="57"/>
  <c r="E8" i="57"/>
  <c r="D8" i="57"/>
  <c r="D12" i="57" s="1"/>
  <c r="D2" i="57"/>
  <c r="M29" i="56"/>
  <c r="D16" i="56"/>
  <c r="R11" i="56"/>
  <c r="Q11" i="56"/>
  <c r="P11" i="56"/>
  <c r="O11" i="56"/>
  <c r="N11" i="56"/>
  <c r="M11" i="56"/>
  <c r="L11" i="56"/>
  <c r="K11" i="56"/>
  <c r="J11" i="56"/>
  <c r="I11" i="56"/>
  <c r="H11" i="56"/>
  <c r="G11" i="56"/>
  <c r="F11" i="56"/>
  <c r="E11" i="56"/>
  <c r="D11" i="56"/>
  <c r="D15" i="56" s="1"/>
  <c r="R10" i="56"/>
  <c r="Q10" i="56"/>
  <c r="P10" i="56"/>
  <c r="O10" i="56"/>
  <c r="N10" i="56"/>
  <c r="M10" i="56"/>
  <c r="L10" i="56"/>
  <c r="K10" i="56"/>
  <c r="J10" i="56"/>
  <c r="I10" i="56"/>
  <c r="H10" i="56"/>
  <c r="G10" i="56"/>
  <c r="F10" i="56"/>
  <c r="E10" i="56"/>
  <c r="D10" i="56"/>
  <c r="R9" i="56"/>
  <c r="Q9" i="56"/>
  <c r="P9" i="56"/>
  <c r="O9" i="56"/>
  <c r="N9" i="56"/>
  <c r="M9" i="56"/>
  <c r="L9" i="56"/>
  <c r="K9" i="56"/>
  <c r="J9" i="56"/>
  <c r="I9" i="56"/>
  <c r="H9" i="56"/>
  <c r="G9" i="56"/>
  <c r="F9" i="56"/>
  <c r="E9" i="56"/>
  <c r="D9" i="56"/>
  <c r="D13" i="56" s="1"/>
  <c r="R8" i="56"/>
  <c r="Q8" i="56"/>
  <c r="P8" i="56"/>
  <c r="O8" i="56"/>
  <c r="N8" i="56"/>
  <c r="M8" i="56"/>
  <c r="L8" i="56"/>
  <c r="K8" i="56"/>
  <c r="J8" i="56"/>
  <c r="I8" i="56"/>
  <c r="H8" i="56"/>
  <c r="G8" i="56"/>
  <c r="F8" i="56"/>
  <c r="E8" i="56"/>
  <c r="D8" i="56"/>
  <c r="D12" i="56" s="1"/>
  <c r="D2" i="56"/>
  <c r="M29" i="55"/>
  <c r="D16" i="55"/>
  <c r="R11" i="55"/>
  <c r="Q11" i="55"/>
  <c r="P11" i="55"/>
  <c r="O11" i="55"/>
  <c r="N11" i="55"/>
  <c r="M11" i="55"/>
  <c r="L11" i="55"/>
  <c r="K11" i="55"/>
  <c r="J11" i="55"/>
  <c r="I11" i="55"/>
  <c r="H11" i="55"/>
  <c r="G11" i="55"/>
  <c r="F11" i="55"/>
  <c r="E11" i="55"/>
  <c r="D11" i="55"/>
  <c r="D15" i="55" s="1"/>
  <c r="R10" i="55"/>
  <c r="Q10" i="55"/>
  <c r="P10" i="55"/>
  <c r="O10" i="55"/>
  <c r="N10" i="55"/>
  <c r="M10" i="55"/>
  <c r="L10" i="55"/>
  <c r="K10" i="55"/>
  <c r="J10" i="55"/>
  <c r="I10" i="55"/>
  <c r="H10" i="55"/>
  <c r="G10" i="55"/>
  <c r="F10" i="55"/>
  <c r="E10" i="55"/>
  <c r="D10" i="55"/>
  <c r="R9" i="55"/>
  <c r="Q9" i="55"/>
  <c r="P9" i="55"/>
  <c r="O9" i="55"/>
  <c r="N9" i="55"/>
  <c r="M9" i="55"/>
  <c r="L9" i="55"/>
  <c r="K9" i="55"/>
  <c r="J9" i="55"/>
  <c r="I9" i="55"/>
  <c r="H9" i="55"/>
  <c r="G9" i="55"/>
  <c r="F9" i="55"/>
  <c r="E9" i="55"/>
  <c r="D9" i="55"/>
  <c r="D13" i="55" s="1"/>
  <c r="R8" i="55"/>
  <c r="Q8" i="55"/>
  <c r="P8" i="55"/>
  <c r="O8" i="55"/>
  <c r="N8" i="55"/>
  <c r="M8" i="55"/>
  <c r="L8" i="55"/>
  <c r="K8" i="55"/>
  <c r="J8" i="55"/>
  <c r="I8" i="55"/>
  <c r="H8" i="55"/>
  <c r="G8" i="55"/>
  <c r="F8" i="55"/>
  <c r="E8" i="55"/>
  <c r="D8" i="55"/>
  <c r="D12" i="55" s="1"/>
  <c r="D2" i="55"/>
  <c r="D16" i="54"/>
  <c r="R11" i="54"/>
  <c r="Q11" i="54"/>
  <c r="P11" i="54"/>
  <c r="O11" i="54"/>
  <c r="N11" i="54"/>
  <c r="M11" i="54"/>
  <c r="L11" i="54"/>
  <c r="K11" i="54"/>
  <c r="J11" i="54"/>
  <c r="I11" i="54"/>
  <c r="H11" i="54"/>
  <c r="G11" i="54"/>
  <c r="F11" i="54"/>
  <c r="E11" i="54"/>
  <c r="D11" i="54"/>
  <c r="D15" i="54" s="1"/>
  <c r="R10" i="54"/>
  <c r="Q10" i="54"/>
  <c r="P10" i="54"/>
  <c r="O10" i="54"/>
  <c r="N10" i="54"/>
  <c r="M10" i="54"/>
  <c r="L10" i="54"/>
  <c r="K10" i="54"/>
  <c r="J10" i="54"/>
  <c r="I10" i="54"/>
  <c r="H10" i="54"/>
  <c r="G10" i="54"/>
  <c r="F10" i="54"/>
  <c r="E10" i="54"/>
  <c r="D10" i="54"/>
  <c r="R9" i="54"/>
  <c r="Q9" i="54"/>
  <c r="P9" i="54"/>
  <c r="O9" i="54"/>
  <c r="N9" i="54"/>
  <c r="M9" i="54"/>
  <c r="L9" i="54"/>
  <c r="K9" i="54"/>
  <c r="J9" i="54"/>
  <c r="I9" i="54"/>
  <c r="H9" i="54"/>
  <c r="G9" i="54"/>
  <c r="F9" i="54"/>
  <c r="E9" i="54"/>
  <c r="D9" i="54"/>
  <c r="D13" i="54" s="1"/>
  <c r="R8" i="54"/>
  <c r="Q8" i="54"/>
  <c r="P8" i="54"/>
  <c r="O8" i="54"/>
  <c r="N8" i="54"/>
  <c r="M8" i="54"/>
  <c r="L8" i="54"/>
  <c r="K8" i="54"/>
  <c r="J8" i="54"/>
  <c r="I8" i="54"/>
  <c r="H8" i="54"/>
  <c r="G8" i="54"/>
  <c r="F8" i="54"/>
  <c r="E8" i="54"/>
  <c r="D8" i="54"/>
  <c r="D12" i="54" s="1"/>
  <c r="D2" i="54"/>
  <c r="D16" i="53"/>
  <c r="R11" i="53"/>
  <c r="Q11" i="53"/>
  <c r="P11" i="53"/>
  <c r="O11" i="53"/>
  <c r="N11" i="53"/>
  <c r="M11" i="53"/>
  <c r="L11" i="53"/>
  <c r="K11" i="53"/>
  <c r="J11" i="53"/>
  <c r="I11" i="53"/>
  <c r="H11" i="53"/>
  <c r="G11" i="53"/>
  <c r="F11" i="53"/>
  <c r="E11" i="53"/>
  <c r="D11" i="53"/>
  <c r="D15" i="53" s="1"/>
  <c r="R10" i="53"/>
  <c r="Q10" i="53"/>
  <c r="P10" i="53"/>
  <c r="O10" i="53"/>
  <c r="N10" i="53"/>
  <c r="M10" i="53"/>
  <c r="L10" i="53"/>
  <c r="K10" i="53"/>
  <c r="J10" i="53"/>
  <c r="I10" i="53"/>
  <c r="H10" i="53"/>
  <c r="G10" i="53"/>
  <c r="F10" i="53"/>
  <c r="E10" i="53"/>
  <c r="D10" i="53"/>
  <c r="R9" i="53"/>
  <c r="Q9" i="53"/>
  <c r="P9" i="53"/>
  <c r="O9" i="53"/>
  <c r="N9" i="53"/>
  <c r="M9" i="53"/>
  <c r="L9" i="53"/>
  <c r="K9" i="53"/>
  <c r="J9" i="53"/>
  <c r="I9" i="53"/>
  <c r="H9" i="53"/>
  <c r="G9" i="53"/>
  <c r="F9" i="53"/>
  <c r="E9" i="53"/>
  <c r="D9" i="53"/>
  <c r="D13" i="53" s="1"/>
  <c r="R8" i="53"/>
  <c r="Q8" i="53"/>
  <c r="P8" i="53"/>
  <c r="O8" i="53"/>
  <c r="N8" i="53"/>
  <c r="M8" i="53"/>
  <c r="L8" i="53"/>
  <c r="K8" i="53"/>
  <c r="J8" i="53"/>
  <c r="I8" i="53"/>
  <c r="H8" i="53"/>
  <c r="G8" i="53"/>
  <c r="F8" i="53"/>
  <c r="E8" i="53"/>
  <c r="D8" i="53"/>
  <c r="D12" i="53" s="1"/>
  <c r="D2" i="53"/>
  <c r="M29" i="52"/>
  <c r="D16" i="52"/>
  <c r="R11" i="52"/>
  <c r="Q11" i="52"/>
  <c r="P11" i="52"/>
  <c r="O11" i="52"/>
  <c r="N11" i="52"/>
  <c r="M11" i="52"/>
  <c r="L11" i="52"/>
  <c r="K11" i="52"/>
  <c r="J11" i="52"/>
  <c r="I11" i="52"/>
  <c r="H11" i="52"/>
  <c r="G11" i="52"/>
  <c r="F11" i="52"/>
  <c r="E11" i="52"/>
  <c r="D11" i="52"/>
  <c r="D15" i="52" s="1"/>
  <c r="R10" i="52"/>
  <c r="Q10" i="52"/>
  <c r="P10" i="52"/>
  <c r="O10" i="52"/>
  <c r="N10" i="52"/>
  <c r="M10" i="52"/>
  <c r="L10" i="52"/>
  <c r="K10" i="52"/>
  <c r="J10" i="52"/>
  <c r="I10" i="52"/>
  <c r="H10" i="52"/>
  <c r="G10" i="52"/>
  <c r="F10" i="52"/>
  <c r="E10" i="52"/>
  <c r="D10" i="52"/>
  <c r="R9" i="52"/>
  <c r="Q9" i="52"/>
  <c r="P9" i="52"/>
  <c r="O9" i="52"/>
  <c r="N9" i="52"/>
  <c r="M9" i="52"/>
  <c r="L9" i="52"/>
  <c r="K9" i="52"/>
  <c r="J9" i="52"/>
  <c r="I9" i="52"/>
  <c r="H9" i="52"/>
  <c r="G9" i="52"/>
  <c r="F9" i="52"/>
  <c r="E9" i="52"/>
  <c r="D9" i="52"/>
  <c r="D13" i="52" s="1"/>
  <c r="R8" i="52"/>
  <c r="Q8" i="52"/>
  <c r="P8" i="52"/>
  <c r="O8" i="52"/>
  <c r="N8" i="52"/>
  <c r="M8" i="52"/>
  <c r="L8" i="52"/>
  <c r="K8" i="52"/>
  <c r="J8" i="52"/>
  <c r="I8" i="52"/>
  <c r="H8" i="52"/>
  <c r="G8" i="52"/>
  <c r="F8" i="52"/>
  <c r="E8" i="52"/>
  <c r="D8" i="52"/>
  <c r="D12" i="52" s="1"/>
  <c r="D2" i="52"/>
  <c r="E14" i="62" l="1"/>
  <c r="D12" i="62"/>
  <c r="E13" i="62" s="1"/>
  <c r="D17" i="62"/>
  <c r="E12" i="60"/>
  <c r="F12" i="60" s="1"/>
  <c r="G12" i="60" s="1"/>
  <c r="H12" i="60" s="1"/>
  <c r="I12" i="60" s="1"/>
  <c r="J12" i="60" s="1"/>
  <c r="K12" i="60" s="1"/>
  <c r="L12" i="60" s="1"/>
  <c r="M12" i="60" s="1"/>
  <c r="N12" i="60" s="1"/>
  <c r="O12" i="60" s="1"/>
  <c r="P12" i="60" s="1"/>
  <c r="Q12" i="60" s="1"/>
  <c r="R12" i="60" s="1"/>
  <c r="F14" i="62"/>
  <c r="G14" i="62" s="1"/>
  <c r="H14" i="62" s="1"/>
  <c r="I14" i="62" s="1"/>
  <c r="J14" i="62" s="1"/>
  <c r="K14" i="62" s="1"/>
  <c r="L14" i="62" s="1"/>
  <c r="M14" i="62" s="1"/>
  <c r="N14" i="62" s="1"/>
  <c r="O14" i="62" s="1"/>
  <c r="P14" i="62" s="1"/>
  <c r="Q14" i="62" s="1"/>
  <c r="R14" i="62" s="1"/>
  <c r="E15" i="62"/>
  <c r="E12" i="58"/>
  <c r="F12" i="58" s="1"/>
  <c r="G12" i="58" s="1"/>
  <c r="H12" i="58" s="1"/>
  <c r="I12" i="58" s="1"/>
  <c r="J12" i="58" s="1"/>
  <c r="K12" i="58" s="1"/>
  <c r="L12" i="58" s="1"/>
  <c r="M12" i="58" s="1"/>
  <c r="N12" i="58" s="1"/>
  <c r="O12" i="58" s="1"/>
  <c r="P12" i="58" s="1"/>
  <c r="Q12" i="58" s="1"/>
  <c r="R12" i="58" s="1"/>
  <c r="D12" i="61"/>
  <c r="E13" i="61" s="1"/>
  <c r="E13" i="54"/>
  <c r="E15" i="53"/>
  <c r="F15" i="53" s="1"/>
  <c r="G15" i="53" s="1"/>
  <c r="D18" i="61"/>
  <c r="E17" i="61"/>
  <c r="F16" i="61" s="1"/>
  <c r="F17" i="61" s="1"/>
  <c r="G16" i="61" s="1"/>
  <c r="G17" i="61" s="1"/>
  <c r="H16" i="61" s="1"/>
  <c r="E15" i="61"/>
  <c r="D19" i="61"/>
  <c r="D20" i="61"/>
  <c r="D14" i="61"/>
  <c r="E14" i="61" s="1"/>
  <c r="F14" i="61" s="1"/>
  <c r="G14" i="61" s="1"/>
  <c r="H14" i="61" s="1"/>
  <c r="I14" i="61" s="1"/>
  <c r="J14" i="61" s="1"/>
  <c r="K14" i="61" s="1"/>
  <c r="L14" i="61" s="1"/>
  <c r="M14" i="61" s="1"/>
  <c r="N14" i="61" s="1"/>
  <c r="O14" i="61" s="1"/>
  <c r="P14" i="61" s="1"/>
  <c r="Q14" i="61" s="1"/>
  <c r="R14" i="61" s="1"/>
  <c r="E15" i="60"/>
  <c r="F15" i="60" s="1"/>
  <c r="G15" i="60" s="1"/>
  <c r="E13" i="60"/>
  <c r="D17" i="60"/>
  <c r="E16" i="60" s="1"/>
  <c r="E17" i="60" s="1"/>
  <c r="F16" i="60" s="1"/>
  <c r="F17" i="60" s="1"/>
  <c r="G16" i="60" s="1"/>
  <c r="D14" i="60"/>
  <c r="E14" i="60" s="1"/>
  <c r="F14" i="60" s="1"/>
  <c r="G14" i="60" s="1"/>
  <c r="H14" i="60" s="1"/>
  <c r="I14" i="60" s="1"/>
  <c r="J14" i="60" s="1"/>
  <c r="K14" i="60" s="1"/>
  <c r="L14" i="60" s="1"/>
  <c r="M14" i="60" s="1"/>
  <c r="N14" i="60" s="1"/>
  <c r="O14" i="60" s="1"/>
  <c r="P14" i="60" s="1"/>
  <c r="Q14" i="60" s="1"/>
  <c r="R14" i="60" s="1"/>
  <c r="E13" i="59"/>
  <c r="E12" i="59"/>
  <c r="E15" i="59"/>
  <c r="D17" i="59"/>
  <c r="E16" i="59" s="1"/>
  <c r="E17" i="59" s="1"/>
  <c r="F16" i="59" s="1"/>
  <c r="F17" i="59" s="1"/>
  <c r="G16" i="59" s="1"/>
  <c r="D14" i="59"/>
  <c r="E14" i="59" s="1"/>
  <c r="F14" i="59" s="1"/>
  <c r="G14" i="59" s="1"/>
  <c r="H14" i="59" s="1"/>
  <c r="I14" i="59" s="1"/>
  <c r="J14" i="59" s="1"/>
  <c r="K14" i="59" s="1"/>
  <c r="L14" i="59" s="1"/>
  <c r="M14" i="59" s="1"/>
  <c r="N14" i="59" s="1"/>
  <c r="O14" i="59" s="1"/>
  <c r="P14" i="59" s="1"/>
  <c r="Q14" i="59" s="1"/>
  <c r="R14" i="59" s="1"/>
  <c r="E13" i="58"/>
  <c r="E15" i="58"/>
  <c r="F15" i="58" s="1"/>
  <c r="G15" i="58" s="1"/>
  <c r="D17" i="58"/>
  <c r="E16" i="58" s="1"/>
  <c r="E17" i="58" s="1"/>
  <c r="F16" i="58" s="1"/>
  <c r="F17" i="58" s="1"/>
  <c r="G16" i="58" s="1"/>
  <c r="D14" i="58"/>
  <c r="E14" i="58" s="1"/>
  <c r="F14" i="58" s="1"/>
  <c r="G14" i="58" s="1"/>
  <c r="H14" i="58" s="1"/>
  <c r="I14" i="58" s="1"/>
  <c r="J14" i="58" s="1"/>
  <c r="K14" i="58" s="1"/>
  <c r="L14" i="58" s="1"/>
  <c r="M14" i="58" s="1"/>
  <c r="N14" i="58" s="1"/>
  <c r="O14" i="58" s="1"/>
  <c r="P14" i="58" s="1"/>
  <c r="Q14" i="58" s="1"/>
  <c r="R14" i="58" s="1"/>
  <c r="E12" i="57"/>
  <c r="F12" i="57" s="1"/>
  <c r="G12" i="57" s="1"/>
  <c r="H12" i="57" s="1"/>
  <c r="I12" i="57" s="1"/>
  <c r="J12" i="57" s="1"/>
  <c r="K12" i="57" s="1"/>
  <c r="L12" i="57" s="1"/>
  <c r="M12" i="57" s="1"/>
  <c r="N12" i="57" s="1"/>
  <c r="O12" i="57" s="1"/>
  <c r="P12" i="57" s="1"/>
  <c r="Q12" i="57" s="1"/>
  <c r="R12" i="57" s="1"/>
  <c r="E13" i="57"/>
  <c r="E15" i="57"/>
  <c r="D17" i="57"/>
  <c r="E16" i="57" s="1"/>
  <c r="E17" i="57" s="1"/>
  <c r="F16" i="57" s="1"/>
  <c r="F17" i="57" s="1"/>
  <c r="G16" i="57" s="1"/>
  <c r="G17" i="57" s="1"/>
  <c r="H16" i="57" s="1"/>
  <c r="D14" i="57"/>
  <c r="E14" i="57" s="1"/>
  <c r="F14" i="57" s="1"/>
  <c r="G14" i="57" s="1"/>
  <c r="H14" i="57" s="1"/>
  <c r="I14" i="57" s="1"/>
  <c r="J14" i="57" s="1"/>
  <c r="K14" i="57" s="1"/>
  <c r="L14" i="57" s="1"/>
  <c r="M14" i="57" s="1"/>
  <c r="N14" i="57" s="1"/>
  <c r="O14" i="57" s="1"/>
  <c r="P14" i="57" s="1"/>
  <c r="Q14" i="57" s="1"/>
  <c r="R14" i="57" s="1"/>
  <c r="E13" i="56"/>
  <c r="E12" i="56"/>
  <c r="F12" i="56" s="1"/>
  <c r="G12" i="56" s="1"/>
  <c r="H12" i="56" s="1"/>
  <c r="I12" i="56" s="1"/>
  <c r="J12" i="56" s="1"/>
  <c r="K12" i="56" s="1"/>
  <c r="L12" i="56" s="1"/>
  <c r="M12" i="56" s="1"/>
  <c r="N12" i="56" s="1"/>
  <c r="O12" i="56" s="1"/>
  <c r="P12" i="56" s="1"/>
  <c r="Q12" i="56" s="1"/>
  <c r="R12" i="56" s="1"/>
  <c r="E15" i="56"/>
  <c r="D17" i="56"/>
  <c r="E16" i="56" s="1"/>
  <c r="E17" i="56" s="1"/>
  <c r="F16" i="56" s="1"/>
  <c r="F17" i="56" s="1"/>
  <c r="G16" i="56" s="1"/>
  <c r="D14" i="56"/>
  <c r="E14" i="56" s="1"/>
  <c r="F14" i="56" s="1"/>
  <c r="G14" i="56" s="1"/>
  <c r="H14" i="56" s="1"/>
  <c r="I14" i="56" s="1"/>
  <c r="J14" i="56" s="1"/>
  <c r="K14" i="56" s="1"/>
  <c r="L14" i="56" s="1"/>
  <c r="M14" i="56" s="1"/>
  <c r="N14" i="56" s="1"/>
  <c r="O14" i="56" s="1"/>
  <c r="P14" i="56" s="1"/>
  <c r="Q14" i="56" s="1"/>
  <c r="R14" i="56" s="1"/>
  <c r="E15" i="54"/>
  <c r="F15" i="54" s="1"/>
  <c r="E13" i="55"/>
  <c r="E12" i="55"/>
  <c r="F12" i="55" s="1"/>
  <c r="E15" i="55"/>
  <c r="F15" i="55" s="1"/>
  <c r="D17" i="55"/>
  <c r="E16" i="55" s="1"/>
  <c r="E17" i="55" s="1"/>
  <c r="F16" i="55" s="1"/>
  <c r="F17" i="55" s="1"/>
  <c r="G16" i="55" s="1"/>
  <c r="D14" i="55"/>
  <c r="E14" i="55" s="1"/>
  <c r="F14" i="55" s="1"/>
  <c r="G14" i="55" s="1"/>
  <c r="H14" i="55" s="1"/>
  <c r="I14" i="55" s="1"/>
  <c r="J14" i="55" s="1"/>
  <c r="K14" i="55" s="1"/>
  <c r="L14" i="55" s="1"/>
  <c r="M14" i="55" s="1"/>
  <c r="N14" i="55" s="1"/>
  <c r="O14" i="55" s="1"/>
  <c r="P14" i="55" s="1"/>
  <c r="Q14" i="55" s="1"/>
  <c r="R14" i="55" s="1"/>
  <c r="E12" i="54"/>
  <c r="F12" i="54" s="1"/>
  <c r="G12" i="54" s="1"/>
  <c r="H12" i="54" s="1"/>
  <c r="I12" i="54" s="1"/>
  <c r="J12" i="54" s="1"/>
  <c r="K12" i="54" s="1"/>
  <c r="L12" i="54" s="1"/>
  <c r="M12" i="54" s="1"/>
  <c r="N12" i="54" s="1"/>
  <c r="O12" i="54" s="1"/>
  <c r="P12" i="54" s="1"/>
  <c r="Q12" i="54" s="1"/>
  <c r="R12" i="54" s="1"/>
  <c r="D17" i="54"/>
  <c r="E16" i="54" s="1"/>
  <c r="E17" i="54" s="1"/>
  <c r="F16" i="54" s="1"/>
  <c r="D14" i="54"/>
  <c r="E14" i="54" s="1"/>
  <c r="F14" i="54" s="1"/>
  <c r="G14" i="54" s="1"/>
  <c r="H14" i="54" s="1"/>
  <c r="I14" i="54" s="1"/>
  <c r="J14" i="54" s="1"/>
  <c r="K14" i="54" s="1"/>
  <c r="L14" i="54" s="1"/>
  <c r="M14" i="54" s="1"/>
  <c r="N14" i="54" s="1"/>
  <c r="O14" i="54" s="1"/>
  <c r="P14" i="54" s="1"/>
  <c r="Q14" i="54" s="1"/>
  <c r="R14" i="54" s="1"/>
  <c r="E12" i="53"/>
  <c r="F12" i="53" s="1"/>
  <c r="G12" i="53" s="1"/>
  <c r="H12" i="53" s="1"/>
  <c r="I12" i="53" s="1"/>
  <c r="J12" i="53" s="1"/>
  <c r="K12" i="53" s="1"/>
  <c r="L12" i="53" s="1"/>
  <c r="M12" i="53" s="1"/>
  <c r="N12" i="53" s="1"/>
  <c r="O12" i="53" s="1"/>
  <c r="P12" i="53" s="1"/>
  <c r="Q12" i="53" s="1"/>
  <c r="R12" i="53" s="1"/>
  <c r="E13" i="53"/>
  <c r="D17" i="53"/>
  <c r="E16" i="53" s="1"/>
  <c r="E17" i="53" s="1"/>
  <c r="F16" i="53" s="1"/>
  <c r="F17" i="53" s="1"/>
  <c r="G16" i="53" s="1"/>
  <c r="D14" i="53"/>
  <c r="E14" i="53" s="1"/>
  <c r="F14" i="53" s="1"/>
  <c r="G14" i="53" s="1"/>
  <c r="H14" i="53" s="1"/>
  <c r="I14" i="53" s="1"/>
  <c r="J14" i="53" s="1"/>
  <c r="K14" i="53" s="1"/>
  <c r="L14" i="53" s="1"/>
  <c r="M14" i="53" s="1"/>
  <c r="N14" i="53" s="1"/>
  <c r="O14" i="53" s="1"/>
  <c r="P14" i="53" s="1"/>
  <c r="Q14" i="53" s="1"/>
  <c r="R14" i="53" s="1"/>
  <c r="E13" i="52"/>
  <c r="E12" i="52"/>
  <c r="F12" i="52" s="1"/>
  <c r="G12" i="52" s="1"/>
  <c r="H12" i="52" s="1"/>
  <c r="I12" i="52" s="1"/>
  <c r="J12" i="52" s="1"/>
  <c r="K12" i="52" s="1"/>
  <c r="L12" i="52" s="1"/>
  <c r="M12" i="52" s="1"/>
  <c r="N12" i="52" s="1"/>
  <c r="O12" i="52" s="1"/>
  <c r="P12" i="52" s="1"/>
  <c r="Q12" i="52" s="1"/>
  <c r="R12" i="52" s="1"/>
  <c r="E15" i="52"/>
  <c r="F15" i="52" s="1"/>
  <c r="G15" i="52" s="1"/>
  <c r="D17" i="52"/>
  <c r="E16" i="52" s="1"/>
  <c r="E17" i="52" s="1"/>
  <c r="F16" i="52" s="1"/>
  <c r="F17" i="52" s="1"/>
  <c r="G16" i="52" s="1"/>
  <c r="D14" i="52"/>
  <c r="E14" i="52" s="1"/>
  <c r="F14" i="52" s="1"/>
  <c r="G14" i="52" s="1"/>
  <c r="H14" i="52" s="1"/>
  <c r="I14" i="52" s="1"/>
  <c r="J14" i="52" s="1"/>
  <c r="K14" i="52" s="1"/>
  <c r="L14" i="52" s="1"/>
  <c r="M14" i="52" s="1"/>
  <c r="N14" i="52" s="1"/>
  <c r="O14" i="52" s="1"/>
  <c r="P14" i="52" s="1"/>
  <c r="Q14" i="52" s="1"/>
  <c r="R14" i="52" s="1"/>
  <c r="F13" i="58" l="1"/>
  <c r="F13" i="60"/>
  <c r="G13" i="60" s="1"/>
  <c r="H13" i="60" s="1"/>
  <c r="I13" i="60" s="1"/>
  <c r="J13" i="60" s="1"/>
  <c r="K13" i="60" s="1"/>
  <c r="L13" i="60" s="1"/>
  <c r="M13" i="60" s="1"/>
  <c r="N13" i="60" s="1"/>
  <c r="O13" i="60" s="1"/>
  <c r="P13" i="60" s="1"/>
  <c r="E12" i="62"/>
  <c r="F12" i="62" s="1"/>
  <c r="G12" i="62" s="1"/>
  <c r="H12" i="62" s="1"/>
  <c r="I12" i="62" s="1"/>
  <c r="J12" i="62" s="1"/>
  <c r="K12" i="62" s="1"/>
  <c r="L12" i="62" s="1"/>
  <c r="M12" i="62" s="1"/>
  <c r="N12" i="62" s="1"/>
  <c r="O12" i="62" s="1"/>
  <c r="P12" i="62" s="1"/>
  <c r="Q12" i="62" s="1"/>
  <c r="R12" i="62" s="1"/>
  <c r="E16" i="62"/>
  <c r="E17" i="62" s="1"/>
  <c r="E20" i="62" s="1"/>
  <c r="D18" i="62"/>
  <c r="D19" i="62"/>
  <c r="F15" i="62"/>
  <c r="D20" i="62"/>
  <c r="F13" i="57"/>
  <c r="F13" i="55"/>
  <c r="G13" i="55" s="1"/>
  <c r="H13" i="55" s="1"/>
  <c r="I13" i="55" s="1"/>
  <c r="J13" i="55" s="1"/>
  <c r="K13" i="55" s="1"/>
  <c r="L13" i="55" s="1"/>
  <c r="M13" i="55" s="1"/>
  <c r="N13" i="55" s="1"/>
  <c r="O13" i="55" s="1"/>
  <c r="P13" i="55" s="1"/>
  <c r="Q13" i="55" s="1"/>
  <c r="D20" i="59"/>
  <c r="F18" i="61"/>
  <c r="F13" i="54"/>
  <c r="G13" i="54" s="1"/>
  <c r="F13" i="56"/>
  <c r="G13" i="56" s="1"/>
  <c r="H13" i="56" s="1"/>
  <c r="I13" i="56" s="1"/>
  <c r="J13" i="56" s="1"/>
  <c r="K13" i="56" s="1"/>
  <c r="L13" i="56" s="1"/>
  <c r="M13" i="56" s="1"/>
  <c r="N13" i="56" s="1"/>
  <c r="O13" i="56" s="1"/>
  <c r="P13" i="56" s="1"/>
  <c r="Q13" i="56" s="1"/>
  <c r="R13" i="56" s="1"/>
  <c r="M26" i="56" s="1"/>
  <c r="E12" i="61"/>
  <c r="F12" i="61" s="1"/>
  <c r="G12" i="61" s="1"/>
  <c r="H12" i="61" s="1"/>
  <c r="I12" i="61" s="1"/>
  <c r="J12" i="61" s="1"/>
  <c r="K12" i="61" s="1"/>
  <c r="L12" i="61" s="1"/>
  <c r="M12" i="61" s="1"/>
  <c r="N12" i="61" s="1"/>
  <c r="O12" i="61" s="1"/>
  <c r="P12" i="61" s="1"/>
  <c r="Q12" i="61" s="1"/>
  <c r="R12" i="61" s="1"/>
  <c r="D18" i="57"/>
  <c r="D19" i="53"/>
  <c r="F18" i="57"/>
  <c r="D19" i="57"/>
  <c r="E18" i="61"/>
  <c r="G18" i="61"/>
  <c r="E19" i="61"/>
  <c r="E20" i="61"/>
  <c r="I16" i="61"/>
  <c r="H17" i="61"/>
  <c r="H18" i="61" s="1"/>
  <c r="F15" i="61"/>
  <c r="H15" i="60"/>
  <c r="D20" i="60"/>
  <c r="D19" i="60"/>
  <c r="F18" i="60"/>
  <c r="E20" i="60"/>
  <c r="G17" i="60"/>
  <c r="G18" i="60" s="1"/>
  <c r="H16" i="60"/>
  <c r="F20" i="60"/>
  <c r="F19" i="60"/>
  <c r="E18" i="60"/>
  <c r="E19" i="60"/>
  <c r="D18" i="60"/>
  <c r="F13" i="59"/>
  <c r="F12" i="59"/>
  <c r="G12" i="59" s="1"/>
  <c r="H12" i="59" s="1"/>
  <c r="I12" i="59" s="1"/>
  <c r="J12" i="59" s="1"/>
  <c r="K12" i="59" s="1"/>
  <c r="L12" i="59" s="1"/>
  <c r="M12" i="59" s="1"/>
  <c r="N12" i="59" s="1"/>
  <c r="O12" i="59" s="1"/>
  <c r="P12" i="59" s="1"/>
  <c r="Q12" i="59" s="1"/>
  <c r="R12" i="59" s="1"/>
  <c r="G17" i="59"/>
  <c r="G18" i="59" s="1"/>
  <c r="H16" i="59"/>
  <c r="D19" i="59"/>
  <c r="F18" i="59"/>
  <c r="E18" i="59"/>
  <c r="E19" i="59"/>
  <c r="E20" i="59"/>
  <c r="D18" i="59"/>
  <c r="F15" i="59"/>
  <c r="G13" i="58"/>
  <c r="H13" i="58" s="1"/>
  <c r="I13" i="58" s="1"/>
  <c r="J13" i="58" s="1"/>
  <c r="K13" i="58" s="1"/>
  <c r="L13" i="58" s="1"/>
  <c r="M13" i="58" s="1"/>
  <c r="N13" i="58" s="1"/>
  <c r="O13" i="58" s="1"/>
  <c r="P13" i="58" s="1"/>
  <c r="Q13" i="58" s="1"/>
  <c r="R13" i="58" s="1"/>
  <c r="M24" i="58" s="1"/>
  <c r="M25" i="58" s="1"/>
  <c r="F20" i="58"/>
  <c r="F19" i="58"/>
  <c r="E18" i="58"/>
  <c r="D20" i="58"/>
  <c r="D19" i="58"/>
  <c r="H15" i="58"/>
  <c r="F18" i="58"/>
  <c r="E19" i="58"/>
  <c r="E20" i="58"/>
  <c r="D18" i="58"/>
  <c r="G17" i="58"/>
  <c r="G18" i="58" s="1"/>
  <c r="H16" i="58"/>
  <c r="E18" i="57"/>
  <c r="G13" i="57"/>
  <c r="H13" i="57" s="1"/>
  <c r="I13" i="57" s="1"/>
  <c r="J13" i="57" s="1"/>
  <c r="K13" i="57" s="1"/>
  <c r="L13" i="57" s="1"/>
  <c r="M13" i="57" s="1"/>
  <c r="N13" i="57" s="1"/>
  <c r="O13" i="57" s="1"/>
  <c r="P13" i="57" s="1"/>
  <c r="Q13" i="57" s="1"/>
  <c r="R13" i="57" s="1"/>
  <c r="M23" i="57" s="1"/>
  <c r="A12" i="57" s="1"/>
  <c r="C6" i="45" s="1"/>
  <c r="I6" i="45" s="1"/>
  <c r="I16" i="57"/>
  <c r="H17" i="57"/>
  <c r="E19" i="57"/>
  <c r="E20" i="57"/>
  <c r="F15" i="57"/>
  <c r="D20" i="57"/>
  <c r="G18" i="57"/>
  <c r="F18" i="56"/>
  <c r="E19" i="56"/>
  <c r="E20" i="56"/>
  <c r="D18" i="56"/>
  <c r="G17" i="56"/>
  <c r="G18" i="56" s="1"/>
  <c r="H16" i="56"/>
  <c r="D20" i="56"/>
  <c r="D19" i="56"/>
  <c r="F15" i="56"/>
  <c r="E18" i="56"/>
  <c r="D18" i="54"/>
  <c r="E18" i="54"/>
  <c r="G12" i="55"/>
  <c r="H12" i="55" s="1"/>
  <c r="I12" i="55" s="1"/>
  <c r="J12" i="55" s="1"/>
  <c r="K12" i="55" s="1"/>
  <c r="L12" i="55" s="1"/>
  <c r="M12" i="55" s="1"/>
  <c r="N12" i="55" s="1"/>
  <c r="O12" i="55" s="1"/>
  <c r="P12" i="55" s="1"/>
  <c r="Q12" i="55" s="1"/>
  <c r="R12" i="55" s="1"/>
  <c r="E18" i="55"/>
  <c r="D20" i="55"/>
  <c r="F20" i="55"/>
  <c r="F19" i="55"/>
  <c r="D19" i="55"/>
  <c r="G17" i="55"/>
  <c r="G18" i="55" s="1"/>
  <c r="H16" i="55"/>
  <c r="G15" i="55"/>
  <c r="F18" i="55"/>
  <c r="E19" i="55"/>
  <c r="E20" i="55"/>
  <c r="D18" i="55"/>
  <c r="H13" i="54"/>
  <c r="I13" i="54" s="1"/>
  <c r="J13" i="54" s="1"/>
  <c r="K13" i="54" s="1"/>
  <c r="L13" i="54" s="1"/>
  <c r="M13" i="54" s="1"/>
  <c r="N13" i="54" s="1"/>
  <c r="O13" i="54" s="1"/>
  <c r="P13" i="54" s="1"/>
  <c r="F17" i="54"/>
  <c r="F18" i="54" s="1"/>
  <c r="E20" i="54"/>
  <c r="D20" i="54"/>
  <c r="G15" i="54"/>
  <c r="E19" i="54"/>
  <c r="D19" i="54"/>
  <c r="E20" i="53"/>
  <c r="F18" i="53"/>
  <c r="F20" i="53"/>
  <c r="F19" i="53"/>
  <c r="E18" i="53"/>
  <c r="E19" i="53"/>
  <c r="D18" i="53"/>
  <c r="H15" i="53"/>
  <c r="F13" i="53"/>
  <c r="G13" i="53" s="1"/>
  <c r="H13" i="53" s="1"/>
  <c r="I13" i="53" s="1"/>
  <c r="J13" i="53" s="1"/>
  <c r="K13" i="53" s="1"/>
  <c r="L13" i="53" s="1"/>
  <c r="M13" i="53" s="1"/>
  <c r="N13" i="53" s="1"/>
  <c r="O13" i="53" s="1"/>
  <c r="P13" i="53" s="1"/>
  <c r="G17" i="53"/>
  <c r="D20" i="53"/>
  <c r="F13" i="52"/>
  <c r="G13" i="52" s="1"/>
  <c r="H13" i="52" s="1"/>
  <c r="I13" i="52" s="1"/>
  <c r="J13" i="52" s="1"/>
  <c r="K13" i="52" s="1"/>
  <c r="L13" i="52" s="1"/>
  <c r="M13" i="52" s="1"/>
  <c r="N13" i="52" s="1"/>
  <c r="O13" i="52" s="1"/>
  <c r="P13" i="52" s="1"/>
  <c r="H15" i="52"/>
  <c r="D19" i="52"/>
  <c r="E19" i="52"/>
  <c r="E20" i="52"/>
  <c r="D18" i="52"/>
  <c r="F18" i="52"/>
  <c r="F20" i="52"/>
  <c r="F19" i="52"/>
  <c r="E18" i="52"/>
  <c r="G17" i="52"/>
  <c r="G18" i="52" s="1"/>
  <c r="H16" i="52"/>
  <c r="D20" i="52"/>
  <c r="G18" i="53" l="1"/>
  <c r="F13" i="61"/>
  <c r="G13" i="61" s="1"/>
  <c r="H13" i="61" s="1"/>
  <c r="I13" i="61" s="1"/>
  <c r="J13" i="61" s="1"/>
  <c r="K13" i="61" s="1"/>
  <c r="L13" i="61" s="1"/>
  <c r="M13" i="61" s="1"/>
  <c r="N13" i="61" s="1"/>
  <c r="O13" i="61" s="1"/>
  <c r="P13" i="61" s="1"/>
  <c r="Q13" i="61" s="1"/>
  <c r="R13" i="61" s="1"/>
  <c r="M26" i="61" s="1"/>
  <c r="M27" i="61" s="1"/>
  <c r="E19" i="62"/>
  <c r="F16" i="62"/>
  <c r="F17" i="62" s="1"/>
  <c r="F20" i="62" s="1"/>
  <c r="E18" i="62"/>
  <c r="G15" i="62"/>
  <c r="F13" i="62"/>
  <c r="G13" i="62" s="1"/>
  <c r="H13" i="62" s="1"/>
  <c r="I13" i="62" s="1"/>
  <c r="J13" i="62" s="1"/>
  <c r="K13" i="62" s="1"/>
  <c r="L13" i="62" s="1"/>
  <c r="M13" i="62" s="1"/>
  <c r="N13" i="62" s="1"/>
  <c r="O13" i="62" s="1"/>
  <c r="P13" i="62" s="1"/>
  <c r="F20" i="54"/>
  <c r="G16" i="54"/>
  <c r="H16" i="53"/>
  <c r="I16" i="53" s="1"/>
  <c r="H18" i="57"/>
  <c r="F20" i="61"/>
  <c r="G15" i="61"/>
  <c r="F19" i="61"/>
  <c r="J16" i="61"/>
  <c r="I17" i="61"/>
  <c r="I18" i="61" s="1"/>
  <c r="Q13" i="60"/>
  <c r="R13" i="60" s="1"/>
  <c r="G20" i="60"/>
  <c r="G19" i="60"/>
  <c r="I16" i="60"/>
  <c r="H17" i="60"/>
  <c r="H18" i="60" s="1"/>
  <c r="I15" i="60"/>
  <c r="F20" i="59"/>
  <c r="F19" i="59"/>
  <c r="G15" i="59"/>
  <c r="I16" i="59"/>
  <c r="H17" i="59"/>
  <c r="H18" i="59" s="1"/>
  <c r="G13" i="59"/>
  <c r="H13" i="59" s="1"/>
  <c r="I13" i="59" s="1"/>
  <c r="J13" i="59" s="1"/>
  <c r="K13" i="59" s="1"/>
  <c r="L13" i="59" s="1"/>
  <c r="M13" i="59" s="1"/>
  <c r="N13" i="59" s="1"/>
  <c r="O13" i="59" s="1"/>
  <c r="P13" i="59" s="1"/>
  <c r="M26" i="58"/>
  <c r="M28" i="58" s="1"/>
  <c r="M23" i="58"/>
  <c r="A12" i="58" s="1"/>
  <c r="B7" i="45" s="1"/>
  <c r="H7" i="45" s="1"/>
  <c r="G20" i="58"/>
  <c r="G19" i="58"/>
  <c r="I16" i="58"/>
  <c r="H17" i="58"/>
  <c r="H18" i="58" s="1"/>
  <c r="I15" i="58"/>
  <c r="M24" i="57"/>
  <c r="M25" i="57" s="1"/>
  <c r="M26" i="57"/>
  <c r="F20" i="57"/>
  <c r="F19" i="57"/>
  <c r="G15" i="57"/>
  <c r="J16" i="57"/>
  <c r="I17" i="57"/>
  <c r="M23" i="56"/>
  <c r="A12" i="56" s="1"/>
  <c r="B6" i="45" s="1"/>
  <c r="H6" i="45" s="1"/>
  <c r="J6" i="45" s="1"/>
  <c r="M28" i="56"/>
  <c r="M27" i="56"/>
  <c r="I16" i="56"/>
  <c r="H17" i="56"/>
  <c r="H18" i="56" s="1"/>
  <c r="M24" i="56"/>
  <c r="M25" i="56" s="1"/>
  <c r="F20" i="56"/>
  <c r="F19" i="56"/>
  <c r="G15" i="56"/>
  <c r="G17" i="54"/>
  <c r="G20" i="54" s="1"/>
  <c r="F19" i="54"/>
  <c r="R13" i="55"/>
  <c r="M26" i="55" s="1"/>
  <c r="M28" i="55" s="1"/>
  <c r="H15" i="55"/>
  <c r="G19" i="55"/>
  <c r="G20" i="55"/>
  <c r="I16" i="55"/>
  <c r="H17" i="55"/>
  <c r="H18" i="55" s="1"/>
  <c r="H15" i="54"/>
  <c r="Q13" i="54"/>
  <c r="R13" i="54" s="1"/>
  <c r="M26" i="54" s="1"/>
  <c r="G20" i="53"/>
  <c r="G19" i="53"/>
  <c r="I15" i="53"/>
  <c r="Q13" i="53"/>
  <c r="R13" i="53" s="1"/>
  <c r="M23" i="53" s="1"/>
  <c r="A12" i="53" s="1"/>
  <c r="C4" i="45" s="1"/>
  <c r="I4" i="45" s="1"/>
  <c r="Q13" i="52"/>
  <c r="R13" i="52" s="1"/>
  <c r="M23" i="52" s="1"/>
  <c r="A12" i="52" s="1"/>
  <c r="B4" i="45" s="1"/>
  <c r="H4" i="45" s="1"/>
  <c r="G20" i="52"/>
  <c r="I16" i="52"/>
  <c r="H17" i="52"/>
  <c r="H18" i="52" s="1"/>
  <c r="G19" i="52"/>
  <c r="I15" i="52"/>
  <c r="K9" i="1"/>
  <c r="N11" i="1"/>
  <c r="K11" i="1"/>
  <c r="I8" i="1"/>
  <c r="D11" i="1"/>
  <c r="D15" i="1" s="1"/>
  <c r="E11" i="1"/>
  <c r="D8" i="1"/>
  <c r="D12" i="1" s="1"/>
  <c r="E8" i="1"/>
  <c r="D2" i="1"/>
  <c r="F8" i="1"/>
  <c r="G8" i="1"/>
  <c r="H8" i="1"/>
  <c r="J8" i="1"/>
  <c r="K8" i="1"/>
  <c r="L8" i="1"/>
  <c r="M8" i="1"/>
  <c r="N8" i="1"/>
  <c r="O8" i="1"/>
  <c r="P8" i="1"/>
  <c r="Q8" i="1"/>
  <c r="R8" i="1"/>
  <c r="D9" i="1"/>
  <c r="D13" i="1" s="1"/>
  <c r="E9" i="1"/>
  <c r="F9" i="1"/>
  <c r="G9" i="1"/>
  <c r="H9" i="1"/>
  <c r="I9" i="1"/>
  <c r="J9" i="1"/>
  <c r="L9" i="1"/>
  <c r="M9" i="1"/>
  <c r="N9" i="1"/>
  <c r="O9" i="1"/>
  <c r="P9" i="1"/>
  <c r="Q9" i="1"/>
  <c r="R9" i="1"/>
  <c r="D10" i="1"/>
  <c r="D14" i="1" s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F11" i="1"/>
  <c r="G11" i="1"/>
  <c r="H11" i="1"/>
  <c r="I11" i="1"/>
  <c r="J11" i="1"/>
  <c r="L11" i="1"/>
  <c r="M11" i="1"/>
  <c r="O11" i="1"/>
  <c r="P11" i="1"/>
  <c r="Q11" i="1"/>
  <c r="R11" i="1"/>
  <c r="D16" i="1"/>
  <c r="M24" i="61" l="1"/>
  <c r="M25" i="61" s="1"/>
  <c r="M23" i="61"/>
  <c r="A12" i="61" s="1"/>
  <c r="C8" i="45" s="1"/>
  <c r="I8" i="45" s="1"/>
  <c r="M28" i="61"/>
  <c r="I18" i="57"/>
  <c r="F19" i="62"/>
  <c r="Q13" i="62"/>
  <c r="R13" i="62" s="1"/>
  <c r="M26" i="62" s="1"/>
  <c r="H15" i="62"/>
  <c r="G16" i="62"/>
  <c r="F18" i="62"/>
  <c r="H17" i="53"/>
  <c r="H18" i="53" s="1"/>
  <c r="J4" i="45"/>
  <c r="H19" i="52"/>
  <c r="M24" i="55"/>
  <c r="M25" i="55" s="1"/>
  <c r="M27" i="58"/>
  <c r="G19" i="54"/>
  <c r="J17" i="61"/>
  <c r="J18" i="61" s="1"/>
  <c r="K16" i="61"/>
  <c r="G19" i="61"/>
  <c r="G20" i="61"/>
  <c r="H15" i="61"/>
  <c r="M26" i="60"/>
  <c r="M24" i="60"/>
  <c r="M25" i="60" s="1"/>
  <c r="M23" i="60"/>
  <c r="A12" i="60" s="1"/>
  <c r="B8" i="45" s="1"/>
  <c r="H8" i="45" s="1"/>
  <c r="J8" i="45" s="1"/>
  <c r="H19" i="60"/>
  <c r="H20" i="60"/>
  <c r="J16" i="60"/>
  <c r="I17" i="60"/>
  <c r="I18" i="60" s="1"/>
  <c r="J15" i="60"/>
  <c r="Q13" i="59"/>
  <c r="R13" i="59" s="1"/>
  <c r="J16" i="59"/>
  <c r="I17" i="59"/>
  <c r="I18" i="59" s="1"/>
  <c r="H15" i="59"/>
  <c r="G19" i="59"/>
  <c r="G20" i="59"/>
  <c r="H20" i="58"/>
  <c r="H19" i="58"/>
  <c r="J15" i="58"/>
  <c r="J16" i="58"/>
  <c r="I17" i="58"/>
  <c r="I18" i="58" s="1"/>
  <c r="J17" i="57"/>
  <c r="J18" i="57" s="1"/>
  <c r="K16" i="57"/>
  <c r="M28" i="57"/>
  <c r="M27" i="57"/>
  <c r="G19" i="57"/>
  <c r="G20" i="57"/>
  <c r="H15" i="57"/>
  <c r="H15" i="56"/>
  <c r="G19" i="56"/>
  <c r="G20" i="56"/>
  <c r="J16" i="56"/>
  <c r="I17" i="56"/>
  <c r="I18" i="56" s="1"/>
  <c r="G18" i="54"/>
  <c r="H16" i="54"/>
  <c r="H17" i="54" s="1"/>
  <c r="H18" i="54" s="1"/>
  <c r="M23" i="54"/>
  <c r="A12" i="54" s="1"/>
  <c r="C5" i="45" s="1"/>
  <c r="I5" i="45" s="1"/>
  <c r="M24" i="54"/>
  <c r="M25" i="54" s="1"/>
  <c r="M27" i="55"/>
  <c r="M23" i="55"/>
  <c r="A12" i="55" s="1"/>
  <c r="B5" i="45" s="1"/>
  <c r="H5" i="45" s="1"/>
  <c r="J16" i="55"/>
  <c r="I17" i="55"/>
  <c r="I18" i="55" s="1"/>
  <c r="I15" i="55"/>
  <c r="H19" i="55"/>
  <c r="H20" i="55"/>
  <c r="I15" i="54"/>
  <c r="M28" i="54"/>
  <c r="M27" i="54"/>
  <c r="M26" i="53"/>
  <c r="M27" i="53" s="1"/>
  <c r="H20" i="53"/>
  <c r="M24" i="53"/>
  <c r="M25" i="53" s="1"/>
  <c r="J15" i="53"/>
  <c r="J16" i="53"/>
  <c r="M26" i="52"/>
  <c r="M28" i="52" s="1"/>
  <c r="H20" i="52"/>
  <c r="M24" i="52"/>
  <c r="M25" i="52" s="1"/>
  <c r="J16" i="52"/>
  <c r="I17" i="52"/>
  <c r="I18" i="52" s="1"/>
  <c r="J15" i="52"/>
  <c r="E13" i="1"/>
  <c r="E12" i="1"/>
  <c r="F12" i="1" s="1"/>
  <c r="G12" i="1" s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E14" i="1"/>
  <c r="F14" i="1" s="1"/>
  <c r="G14" i="1" s="1"/>
  <c r="H14" i="1" s="1"/>
  <c r="I14" i="1" s="1"/>
  <c r="J14" i="1" s="1"/>
  <c r="K14" i="1" s="1"/>
  <c r="L14" i="1" s="1"/>
  <c r="M14" i="1" s="1"/>
  <c r="N14" i="1" s="1"/>
  <c r="O14" i="1" s="1"/>
  <c r="P14" i="1" s="1"/>
  <c r="Q14" i="1" s="1"/>
  <c r="R14" i="1" s="1"/>
  <c r="E15" i="1"/>
  <c r="F15" i="1" s="1"/>
  <c r="G15" i="1" s="1"/>
  <c r="H15" i="1" s="1"/>
  <c r="D17" i="1"/>
  <c r="M24" i="62" l="1"/>
  <c r="M25" i="62" s="1"/>
  <c r="M23" i="62"/>
  <c r="A12" i="62" s="1"/>
  <c r="C3" i="45" s="1"/>
  <c r="I17" i="53"/>
  <c r="I18" i="53" s="1"/>
  <c r="I15" i="62"/>
  <c r="H16" i="62"/>
  <c r="G17" i="62"/>
  <c r="H19" i="53"/>
  <c r="M27" i="62"/>
  <c r="M28" i="62"/>
  <c r="M28" i="53"/>
  <c r="M27" i="52"/>
  <c r="J5" i="45"/>
  <c r="K17" i="61"/>
  <c r="K18" i="61" s="1"/>
  <c r="L16" i="61"/>
  <c r="I15" i="61"/>
  <c r="H19" i="61"/>
  <c r="H20" i="61"/>
  <c r="I20" i="60"/>
  <c r="M27" i="60"/>
  <c r="M28" i="60"/>
  <c r="I19" i="60"/>
  <c r="K15" i="60"/>
  <c r="J17" i="60"/>
  <c r="J18" i="60" s="1"/>
  <c r="K16" i="60"/>
  <c r="M23" i="59"/>
  <c r="A12" i="59" s="1"/>
  <c r="C7" i="45" s="1"/>
  <c r="I7" i="45" s="1"/>
  <c r="J7" i="45" s="1"/>
  <c r="M24" i="59"/>
  <c r="M25" i="59" s="1"/>
  <c r="M26" i="59"/>
  <c r="M28" i="59" s="1"/>
  <c r="I15" i="59"/>
  <c r="H19" i="59"/>
  <c r="H20" i="59"/>
  <c r="J17" i="59"/>
  <c r="J18" i="59" s="1"/>
  <c r="K16" i="59"/>
  <c r="J17" i="58"/>
  <c r="J18" i="58" s="1"/>
  <c r="K16" i="58"/>
  <c r="K15" i="58"/>
  <c r="I19" i="58"/>
  <c r="I20" i="58"/>
  <c r="I15" i="57"/>
  <c r="H19" i="57"/>
  <c r="H20" i="57"/>
  <c r="K17" i="57"/>
  <c r="K18" i="57" s="1"/>
  <c r="L16" i="57"/>
  <c r="J17" i="56"/>
  <c r="J18" i="56" s="1"/>
  <c r="K16" i="56"/>
  <c r="I15" i="56"/>
  <c r="H19" i="56"/>
  <c r="H20" i="56"/>
  <c r="I16" i="54"/>
  <c r="J16" i="54" s="1"/>
  <c r="H20" i="54"/>
  <c r="I19" i="55"/>
  <c r="I20" i="55"/>
  <c r="J15" i="55"/>
  <c r="J17" i="55"/>
  <c r="J18" i="55" s="1"/>
  <c r="K16" i="55"/>
  <c r="H19" i="54"/>
  <c r="J15" i="54"/>
  <c r="K15" i="53"/>
  <c r="K16" i="53"/>
  <c r="I19" i="52"/>
  <c r="K15" i="52"/>
  <c r="J17" i="52"/>
  <c r="J18" i="52" s="1"/>
  <c r="K16" i="52"/>
  <c r="I20" i="52"/>
  <c r="F13" i="1"/>
  <c r="G13" i="1" s="1"/>
  <c r="H13" i="1" s="1"/>
  <c r="I13" i="1" s="1"/>
  <c r="J13" i="1" s="1"/>
  <c r="K13" i="1" s="1"/>
  <c r="L13" i="1" s="1"/>
  <c r="M13" i="1" s="1"/>
  <c r="N13" i="1" s="1"/>
  <c r="O13" i="1" s="1"/>
  <c r="P13" i="1" s="1"/>
  <c r="D18" i="1"/>
  <c r="E16" i="1"/>
  <c r="E17" i="1" s="1"/>
  <c r="F16" i="1" s="1"/>
  <c r="F17" i="1" s="1"/>
  <c r="D19" i="1"/>
  <c r="D20" i="1"/>
  <c r="I15" i="1"/>
  <c r="I20" i="53" l="1"/>
  <c r="I19" i="53"/>
  <c r="J17" i="53"/>
  <c r="J18" i="53" s="1"/>
  <c r="J15" i="62"/>
  <c r="G18" i="62"/>
  <c r="G20" i="62"/>
  <c r="G19" i="62"/>
  <c r="I16" i="62"/>
  <c r="H17" i="62"/>
  <c r="J19" i="52"/>
  <c r="I17" i="54"/>
  <c r="I18" i="54" s="1"/>
  <c r="J20" i="52"/>
  <c r="I19" i="61"/>
  <c r="I20" i="61"/>
  <c r="J15" i="61"/>
  <c r="M16" i="61"/>
  <c r="L17" i="61"/>
  <c r="L18" i="61" s="1"/>
  <c r="J20" i="60"/>
  <c r="K17" i="60"/>
  <c r="K18" i="60" s="1"/>
  <c r="L16" i="60"/>
  <c r="J19" i="60"/>
  <c r="L15" i="60"/>
  <c r="M27" i="59"/>
  <c r="K17" i="59"/>
  <c r="K18" i="59" s="1"/>
  <c r="L16" i="59"/>
  <c r="I19" i="59"/>
  <c r="I20" i="59"/>
  <c r="J15" i="59"/>
  <c r="J19" i="58"/>
  <c r="K17" i="58"/>
  <c r="K18" i="58" s="1"/>
  <c r="L16" i="58"/>
  <c r="L15" i="58"/>
  <c r="J20" i="58"/>
  <c r="M16" i="57"/>
  <c r="L17" i="57"/>
  <c r="L18" i="57" s="1"/>
  <c r="I19" i="57"/>
  <c r="I20" i="57"/>
  <c r="J15" i="57"/>
  <c r="I19" i="56"/>
  <c r="I20" i="56"/>
  <c r="J15" i="56"/>
  <c r="K17" i="56"/>
  <c r="K18" i="56" s="1"/>
  <c r="L16" i="56"/>
  <c r="K17" i="55"/>
  <c r="K18" i="55" s="1"/>
  <c r="L16" i="55"/>
  <c r="J20" i="55"/>
  <c r="K15" i="55"/>
  <c r="J19" i="55"/>
  <c r="K16" i="54"/>
  <c r="K15" i="54"/>
  <c r="L15" i="53"/>
  <c r="L16" i="53"/>
  <c r="L15" i="52"/>
  <c r="K17" i="52"/>
  <c r="K18" i="52" s="1"/>
  <c r="L16" i="52"/>
  <c r="G16" i="1"/>
  <c r="G17" i="1" s="1"/>
  <c r="H16" i="1" s="1"/>
  <c r="H17" i="1" s="1"/>
  <c r="I16" i="1" s="1"/>
  <c r="E19" i="1"/>
  <c r="F19" i="1" s="1"/>
  <c r="E20" i="1"/>
  <c r="F20" i="1" s="1"/>
  <c r="E18" i="1"/>
  <c r="F18" i="1" s="1"/>
  <c r="Q13" i="1"/>
  <c r="R13" i="1" s="1"/>
  <c r="M26" i="1" s="1"/>
  <c r="J15" i="1"/>
  <c r="J20" i="53" l="1"/>
  <c r="K17" i="53"/>
  <c r="K18" i="53" s="1"/>
  <c r="H18" i="62"/>
  <c r="H19" i="62"/>
  <c r="H20" i="62"/>
  <c r="J19" i="53"/>
  <c r="J16" i="62"/>
  <c r="I17" i="62"/>
  <c r="K15" i="62"/>
  <c r="J17" i="54"/>
  <c r="J18" i="54" s="1"/>
  <c r="I19" i="54"/>
  <c r="K20" i="52"/>
  <c r="K19" i="52"/>
  <c r="I20" i="54"/>
  <c r="J20" i="54" s="1"/>
  <c r="N16" i="61"/>
  <c r="M17" i="61"/>
  <c r="M18" i="61" s="1"/>
  <c r="J20" i="61"/>
  <c r="J19" i="61"/>
  <c r="K15" i="61"/>
  <c r="K19" i="60"/>
  <c r="M15" i="60"/>
  <c r="K20" i="60"/>
  <c r="M16" i="60"/>
  <c r="L17" i="60"/>
  <c r="L18" i="60" s="1"/>
  <c r="J20" i="59"/>
  <c r="K15" i="59"/>
  <c r="J19" i="59"/>
  <c r="M16" i="59"/>
  <c r="L17" i="59"/>
  <c r="L18" i="59" s="1"/>
  <c r="K19" i="58"/>
  <c r="K20" i="58"/>
  <c r="M15" i="58"/>
  <c r="M16" i="58"/>
  <c r="L17" i="58"/>
  <c r="L18" i="58" s="1"/>
  <c r="J20" i="57"/>
  <c r="K15" i="57"/>
  <c r="J19" i="57"/>
  <c r="N16" i="57"/>
  <c r="M17" i="57"/>
  <c r="M18" i="57" s="1"/>
  <c r="J20" i="56"/>
  <c r="K15" i="56"/>
  <c r="J19" i="56"/>
  <c r="M16" i="56"/>
  <c r="L17" i="56"/>
  <c r="L18" i="56" s="1"/>
  <c r="M16" i="55"/>
  <c r="L17" i="55"/>
  <c r="L18" i="55" s="1"/>
  <c r="L15" i="55"/>
  <c r="K19" i="55"/>
  <c r="K20" i="55"/>
  <c r="L15" i="54"/>
  <c r="L16" i="54"/>
  <c r="M16" i="53"/>
  <c r="M15" i="53"/>
  <c r="M16" i="52"/>
  <c r="L17" i="52"/>
  <c r="L18" i="52" s="1"/>
  <c r="M15" i="52"/>
  <c r="G20" i="1"/>
  <c r="H20" i="1" s="1"/>
  <c r="G18" i="1"/>
  <c r="H18" i="1" s="1"/>
  <c r="G19" i="1"/>
  <c r="H19" i="1" s="1"/>
  <c r="M24" i="1"/>
  <c r="M25" i="1" s="1"/>
  <c r="M23" i="1"/>
  <c r="M27" i="1"/>
  <c r="M28" i="1"/>
  <c r="I17" i="1"/>
  <c r="J16" i="1" s="1"/>
  <c r="K15" i="1"/>
  <c r="K19" i="53" l="1"/>
  <c r="L17" i="53"/>
  <c r="L18" i="53" s="1"/>
  <c r="K20" i="53"/>
  <c r="L20" i="53" s="1"/>
  <c r="K17" i="54"/>
  <c r="L15" i="62"/>
  <c r="I18" i="62"/>
  <c r="I19" i="62"/>
  <c r="I20" i="62"/>
  <c r="J17" i="62"/>
  <c r="K16" i="62"/>
  <c r="J19" i="54"/>
  <c r="L15" i="61"/>
  <c r="K19" i="61"/>
  <c r="K20" i="61"/>
  <c r="N17" i="61"/>
  <c r="N18" i="61" s="1"/>
  <c r="O16" i="61"/>
  <c r="L20" i="60"/>
  <c r="N16" i="60"/>
  <c r="M17" i="60"/>
  <c r="M18" i="60" s="1"/>
  <c r="N15" i="60"/>
  <c r="L19" i="60"/>
  <c r="N16" i="59"/>
  <c r="M17" i="59"/>
  <c r="M18" i="59" s="1"/>
  <c r="L15" i="59"/>
  <c r="K19" i="59"/>
  <c r="K20" i="59"/>
  <c r="L20" i="58"/>
  <c r="L19" i="58"/>
  <c r="N15" i="58"/>
  <c r="N16" i="58"/>
  <c r="M17" i="58"/>
  <c r="M18" i="58" s="1"/>
  <c r="N17" i="57"/>
  <c r="N18" i="57" s="1"/>
  <c r="O16" i="57"/>
  <c r="L15" i="57"/>
  <c r="K19" i="57"/>
  <c r="K20" i="57"/>
  <c r="N16" i="56"/>
  <c r="M17" i="56"/>
  <c r="M18" i="56" s="1"/>
  <c r="L15" i="56"/>
  <c r="K19" i="56"/>
  <c r="K20" i="56"/>
  <c r="N16" i="55"/>
  <c r="M17" i="55"/>
  <c r="M18" i="55" s="1"/>
  <c r="M15" i="55"/>
  <c r="L19" i="55"/>
  <c r="L20" i="55"/>
  <c r="M15" i="54"/>
  <c r="M16" i="54"/>
  <c r="N16" i="53"/>
  <c r="M17" i="53"/>
  <c r="M18" i="53" s="1"/>
  <c r="N15" i="53"/>
  <c r="L20" i="52"/>
  <c r="N16" i="52"/>
  <c r="M17" i="52"/>
  <c r="M18" i="52" s="1"/>
  <c r="L19" i="52"/>
  <c r="N15" i="52"/>
  <c r="A12" i="1"/>
  <c r="B3" i="45" s="1"/>
  <c r="H3" i="45" s="1"/>
  <c r="I3" i="45"/>
  <c r="L15" i="1"/>
  <c r="J17" i="1"/>
  <c r="I18" i="1"/>
  <c r="I19" i="1"/>
  <c r="I20" i="1"/>
  <c r="L19" i="53" l="1"/>
  <c r="M19" i="53" s="1"/>
  <c r="K19" i="54"/>
  <c r="K20" i="54"/>
  <c r="K18" i="54"/>
  <c r="K17" i="62"/>
  <c r="L16" i="62"/>
  <c r="L17" i="54"/>
  <c r="L20" i="54" s="1"/>
  <c r="J18" i="62"/>
  <c r="J19" i="62"/>
  <c r="J20" i="62"/>
  <c r="M15" i="62"/>
  <c r="J3" i="45"/>
  <c r="O17" i="61"/>
  <c r="O18" i="61" s="1"/>
  <c r="P16" i="61"/>
  <c r="M15" i="61"/>
  <c r="L20" i="61"/>
  <c r="L19" i="61"/>
  <c r="M20" i="60"/>
  <c r="M19" i="60"/>
  <c r="O15" i="60"/>
  <c r="N17" i="60"/>
  <c r="N18" i="60" s="1"/>
  <c r="O16" i="60"/>
  <c r="M15" i="59"/>
  <c r="L19" i="59"/>
  <c r="L20" i="59"/>
  <c r="N17" i="59"/>
  <c r="N18" i="59" s="1"/>
  <c r="O16" i="59"/>
  <c r="M20" i="58"/>
  <c r="O15" i="58"/>
  <c r="N17" i="58"/>
  <c r="N18" i="58" s="1"/>
  <c r="O16" i="58"/>
  <c r="M19" i="58"/>
  <c r="M15" i="57"/>
  <c r="L19" i="57"/>
  <c r="L20" i="57"/>
  <c r="O17" i="57"/>
  <c r="O18" i="57" s="1"/>
  <c r="P16" i="57"/>
  <c r="N17" i="56"/>
  <c r="N18" i="56" s="1"/>
  <c r="O16" i="56"/>
  <c r="M15" i="56"/>
  <c r="L19" i="56"/>
  <c r="L20" i="56"/>
  <c r="L19" i="54"/>
  <c r="N17" i="55"/>
  <c r="N18" i="55" s="1"/>
  <c r="O16" i="55"/>
  <c r="M19" i="55"/>
  <c r="M20" i="55"/>
  <c r="N15" i="55"/>
  <c r="N16" i="54"/>
  <c r="N15" i="54"/>
  <c r="M20" i="53"/>
  <c r="O15" i="53"/>
  <c r="N17" i="53"/>
  <c r="N18" i="53" s="1"/>
  <c r="O16" i="53"/>
  <c r="M19" i="52"/>
  <c r="M20" i="52"/>
  <c r="N17" i="52"/>
  <c r="N18" i="52" s="1"/>
  <c r="O16" i="52"/>
  <c r="O15" i="52"/>
  <c r="J18" i="1"/>
  <c r="K16" i="1"/>
  <c r="J20" i="1"/>
  <c r="J19" i="1"/>
  <c r="M15" i="1"/>
  <c r="M17" i="54" l="1"/>
  <c r="M18" i="54" s="1"/>
  <c r="L18" i="54"/>
  <c r="K18" i="62"/>
  <c r="K19" i="62"/>
  <c r="K20" i="62"/>
  <c r="N15" i="62"/>
  <c r="M16" i="62"/>
  <c r="L17" i="62"/>
  <c r="N20" i="58"/>
  <c r="N20" i="53"/>
  <c r="M19" i="61"/>
  <c r="M20" i="61"/>
  <c r="N15" i="61"/>
  <c r="Q16" i="61"/>
  <c r="P17" i="61"/>
  <c r="N20" i="60"/>
  <c r="N19" i="60"/>
  <c r="P15" i="60"/>
  <c r="O17" i="60"/>
  <c r="O18" i="60" s="1"/>
  <c r="P16" i="60"/>
  <c r="O17" i="59"/>
  <c r="O18" i="59" s="1"/>
  <c r="P16" i="59"/>
  <c r="M19" i="59"/>
  <c r="M20" i="59"/>
  <c r="N15" i="59"/>
  <c r="N19" i="58"/>
  <c r="P15" i="58"/>
  <c r="O17" i="58"/>
  <c r="O18" i="58" s="1"/>
  <c r="P16" i="58"/>
  <c r="Q16" i="57"/>
  <c r="P17" i="57"/>
  <c r="M19" i="57"/>
  <c r="M20" i="57"/>
  <c r="N15" i="57"/>
  <c r="O17" i="56"/>
  <c r="O18" i="56" s="1"/>
  <c r="P16" i="56"/>
  <c r="M19" i="56"/>
  <c r="M20" i="56"/>
  <c r="N15" i="56"/>
  <c r="O17" i="55"/>
  <c r="O18" i="55" s="1"/>
  <c r="P16" i="55"/>
  <c r="N20" i="55"/>
  <c r="O15" i="55"/>
  <c r="N19" i="55"/>
  <c r="O15" i="54"/>
  <c r="O16" i="54"/>
  <c r="N19" i="53"/>
  <c r="O17" i="53"/>
  <c r="O18" i="53" s="1"/>
  <c r="P16" i="53"/>
  <c r="P15" i="53"/>
  <c r="N19" i="52"/>
  <c r="N20" i="52"/>
  <c r="O17" i="52"/>
  <c r="O18" i="52" s="1"/>
  <c r="P16" i="52"/>
  <c r="P15" i="52"/>
  <c r="N15" i="1"/>
  <c r="K17" i="1"/>
  <c r="L16" i="1"/>
  <c r="N17" i="54" l="1"/>
  <c r="N18" i="54" s="1"/>
  <c r="M19" i="54"/>
  <c r="M20" i="54"/>
  <c r="L18" i="62"/>
  <c r="L19" i="62"/>
  <c r="L20" i="62"/>
  <c r="M17" i="62"/>
  <c r="N16" i="62"/>
  <c r="O15" i="62"/>
  <c r="N20" i="61"/>
  <c r="O15" i="61"/>
  <c r="N19" i="61"/>
  <c r="R16" i="61"/>
  <c r="Q17" i="61"/>
  <c r="P18" i="61"/>
  <c r="O19" i="60"/>
  <c r="Q15" i="60"/>
  <c r="O20" i="60"/>
  <c r="Q16" i="60"/>
  <c r="P17" i="60"/>
  <c r="N20" i="59"/>
  <c r="O15" i="59"/>
  <c r="N19" i="59"/>
  <c r="Q16" i="59"/>
  <c r="P17" i="59"/>
  <c r="O19" i="58"/>
  <c r="O20" i="58"/>
  <c r="Q16" i="58"/>
  <c r="P17" i="58"/>
  <c r="Q15" i="58"/>
  <c r="N20" i="57"/>
  <c r="O15" i="57"/>
  <c r="N19" i="57"/>
  <c r="R16" i="57"/>
  <c r="Q17" i="57"/>
  <c r="P18" i="57"/>
  <c r="Q16" i="56"/>
  <c r="P17" i="56"/>
  <c r="N20" i="56"/>
  <c r="O15" i="56"/>
  <c r="N19" i="56"/>
  <c r="P15" i="55"/>
  <c r="O19" i="55"/>
  <c r="O20" i="55"/>
  <c r="Q16" i="55"/>
  <c r="P17" i="55"/>
  <c r="O17" i="54"/>
  <c r="O18" i="54" s="1"/>
  <c r="P16" i="54"/>
  <c r="P15" i="54"/>
  <c r="O20" i="53"/>
  <c r="Q15" i="53"/>
  <c r="Q16" i="53"/>
  <c r="P17" i="53"/>
  <c r="O19" i="53"/>
  <c r="O20" i="52"/>
  <c r="O19" i="52"/>
  <c r="Q15" i="52"/>
  <c r="Q16" i="52"/>
  <c r="P17" i="52"/>
  <c r="K18" i="1"/>
  <c r="K19" i="1"/>
  <c r="K20" i="1"/>
  <c r="O15" i="1"/>
  <c r="L17" i="1"/>
  <c r="M16" i="1"/>
  <c r="N19" i="54" l="1"/>
  <c r="N20" i="54"/>
  <c r="O20" i="54" s="1"/>
  <c r="P15" i="62"/>
  <c r="M18" i="62"/>
  <c r="M20" i="62"/>
  <c r="M19" i="62"/>
  <c r="O16" i="62"/>
  <c r="N17" i="62"/>
  <c r="P20" i="60"/>
  <c r="P19" i="53"/>
  <c r="Q18" i="61"/>
  <c r="R17" i="61"/>
  <c r="P15" i="61"/>
  <c r="O19" i="61"/>
  <c r="O20" i="61"/>
  <c r="P18" i="60"/>
  <c r="P19" i="60"/>
  <c r="R16" i="60"/>
  <c r="Q17" i="60"/>
  <c r="R15" i="60"/>
  <c r="R16" i="59"/>
  <c r="Q17" i="59"/>
  <c r="P15" i="59"/>
  <c r="O19" i="59"/>
  <c r="O20" i="59"/>
  <c r="P18" i="59"/>
  <c r="P19" i="58"/>
  <c r="P20" i="58"/>
  <c r="R15" i="58"/>
  <c r="P18" i="58"/>
  <c r="R16" i="58"/>
  <c r="Q17" i="58"/>
  <c r="Q18" i="57"/>
  <c r="P15" i="57"/>
  <c r="O19" i="57"/>
  <c r="O20" i="57"/>
  <c r="R17" i="57"/>
  <c r="P18" i="56"/>
  <c r="P15" i="56"/>
  <c r="O19" i="56"/>
  <c r="O20" i="56"/>
  <c r="R16" i="56"/>
  <c r="Q17" i="56"/>
  <c r="P18" i="55"/>
  <c r="Q15" i="55"/>
  <c r="P19" i="55"/>
  <c r="P20" i="55"/>
  <c r="R16" i="55"/>
  <c r="Q17" i="55"/>
  <c r="O19" i="54"/>
  <c r="Q15" i="54"/>
  <c r="Q16" i="54"/>
  <c r="P17" i="54"/>
  <c r="P20" i="53"/>
  <c r="R16" i="53"/>
  <c r="Q17" i="53"/>
  <c r="P18" i="53"/>
  <c r="R15" i="53"/>
  <c r="P19" i="52"/>
  <c r="P20" i="52"/>
  <c r="R15" i="52"/>
  <c r="P18" i="52"/>
  <c r="R16" i="52"/>
  <c r="Q17" i="52"/>
  <c r="M17" i="1"/>
  <c r="N16" i="1"/>
  <c r="P15" i="1"/>
  <c r="L18" i="1"/>
  <c r="L20" i="1"/>
  <c r="L19" i="1"/>
  <c r="N18" i="62" l="1"/>
  <c r="N19" i="62"/>
  <c r="N20" i="62"/>
  <c r="O17" i="62"/>
  <c r="P16" i="62"/>
  <c r="Q15" i="62"/>
  <c r="Q18" i="56"/>
  <c r="Q18" i="60"/>
  <c r="Q19" i="52"/>
  <c r="Q18" i="53"/>
  <c r="Q18" i="58"/>
  <c r="Q15" i="61"/>
  <c r="P19" i="61"/>
  <c r="P20" i="61"/>
  <c r="R18" i="61"/>
  <c r="M30" i="61"/>
  <c r="M29" i="61"/>
  <c r="R17" i="60"/>
  <c r="M30" i="60" s="1"/>
  <c r="Q19" i="60"/>
  <c r="Q20" i="60"/>
  <c r="R17" i="59"/>
  <c r="M30" i="59" s="1"/>
  <c r="Q15" i="59"/>
  <c r="P19" i="59"/>
  <c r="P20" i="59"/>
  <c r="Q18" i="59"/>
  <c r="R17" i="58"/>
  <c r="Q20" i="58"/>
  <c r="Q19" i="58"/>
  <c r="R18" i="57"/>
  <c r="M30" i="57"/>
  <c r="M29" i="57"/>
  <c r="Q15" i="57"/>
  <c r="P19" i="57"/>
  <c r="P20" i="57"/>
  <c r="Q15" i="56"/>
  <c r="P19" i="56"/>
  <c r="P20" i="56"/>
  <c r="R17" i="56"/>
  <c r="P19" i="54"/>
  <c r="R17" i="55"/>
  <c r="M30" i="55" s="1"/>
  <c r="Q18" i="55"/>
  <c r="Q19" i="55"/>
  <c r="Q20" i="55"/>
  <c r="R15" i="55"/>
  <c r="P18" i="54"/>
  <c r="R15" i="54"/>
  <c r="R16" i="54"/>
  <c r="Q17" i="54"/>
  <c r="P20" i="54"/>
  <c r="Q19" i="53"/>
  <c r="Q20" i="53"/>
  <c r="R17" i="53"/>
  <c r="R17" i="52"/>
  <c r="M30" i="52" s="1"/>
  <c r="Q20" i="52"/>
  <c r="Q18" i="52"/>
  <c r="Q15" i="1"/>
  <c r="O16" i="1"/>
  <c r="N17" i="1"/>
  <c r="M18" i="1"/>
  <c r="M20" i="1"/>
  <c r="M19" i="1"/>
  <c r="R20" i="52" l="1"/>
  <c r="R15" i="62"/>
  <c r="O18" i="62"/>
  <c r="O19" i="62"/>
  <c r="O20" i="62"/>
  <c r="P17" i="62"/>
  <c r="Q16" i="62"/>
  <c r="R18" i="60"/>
  <c r="R20" i="53"/>
  <c r="R18" i="55"/>
  <c r="R18" i="59"/>
  <c r="M29" i="59"/>
  <c r="R19" i="52"/>
  <c r="R19" i="60"/>
  <c r="Q19" i="61"/>
  <c r="Q20" i="61"/>
  <c r="R15" i="61"/>
  <c r="R20" i="60"/>
  <c r="Q19" i="59"/>
  <c r="Q20" i="59"/>
  <c r="R15" i="59"/>
  <c r="R18" i="58"/>
  <c r="M30" i="58"/>
  <c r="R19" i="58"/>
  <c r="R20" i="58"/>
  <c r="Q19" i="57"/>
  <c r="Q20" i="57"/>
  <c r="R15" i="57"/>
  <c r="Q19" i="56"/>
  <c r="Q20" i="56"/>
  <c r="R15" i="56"/>
  <c r="R18" i="56"/>
  <c r="M30" i="56"/>
  <c r="R17" i="54"/>
  <c r="M30" i="54" s="1"/>
  <c r="Q20" i="54"/>
  <c r="R20" i="55"/>
  <c r="R19" i="55"/>
  <c r="Q18" i="54"/>
  <c r="Q19" i="54"/>
  <c r="R19" i="53"/>
  <c r="R18" i="53"/>
  <c r="M30" i="53"/>
  <c r="M29" i="53"/>
  <c r="R18" i="52"/>
  <c r="P16" i="1"/>
  <c r="O17" i="1"/>
  <c r="R15" i="1"/>
  <c r="N18" i="1"/>
  <c r="N20" i="1"/>
  <c r="N19" i="1"/>
  <c r="M29" i="54" l="1"/>
  <c r="R16" i="62"/>
  <c r="Q17" i="62"/>
  <c r="P18" i="62"/>
  <c r="P19" i="62"/>
  <c r="P20" i="62"/>
  <c r="R20" i="61"/>
  <c r="R19" i="61"/>
  <c r="R20" i="59"/>
  <c r="R19" i="59"/>
  <c r="R20" i="57"/>
  <c r="R19" i="57"/>
  <c r="R20" i="56"/>
  <c r="R19" i="56"/>
  <c r="R20" i="54"/>
  <c r="R19" i="54"/>
  <c r="R18" i="54"/>
  <c r="O18" i="1"/>
  <c r="O19" i="1"/>
  <c r="O20" i="1"/>
  <c r="P17" i="1"/>
  <c r="Q16" i="1"/>
  <c r="Q18" i="62" l="1"/>
  <c r="Q19" i="62"/>
  <c r="Q20" i="62"/>
  <c r="R17" i="62"/>
  <c r="P18" i="1"/>
  <c r="P20" i="1"/>
  <c r="P19" i="1"/>
  <c r="Q17" i="1"/>
  <c r="R16" i="1"/>
  <c r="R18" i="62" l="1"/>
  <c r="R20" i="62"/>
  <c r="M30" i="62"/>
  <c r="R19" i="62"/>
  <c r="Q18" i="1"/>
  <c r="Q19" i="1"/>
  <c r="Q20" i="1"/>
  <c r="R17" i="1"/>
  <c r="R18" i="1" l="1"/>
  <c r="R19" i="1"/>
  <c r="R20" i="1"/>
  <c r="M30" i="1"/>
  <c r="M29" i="1"/>
</calcChain>
</file>

<file path=xl/sharedStrings.xml><?xml version="1.0" encoding="utf-8"?>
<sst xmlns="http://schemas.openxmlformats.org/spreadsheetml/2006/main" count="1441" uniqueCount="149">
  <si>
    <t>Stage Name</t>
    <phoneticPr fontId="1" type="noConversion"/>
  </si>
  <si>
    <t>dB</t>
    <phoneticPr fontId="1" type="noConversion"/>
  </si>
  <si>
    <t>NF</t>
    <phoneticPr fontId="1" type="noConversion"/>
  </si>
  <si>
    <t>dBm</t>
    <phoneticPr fontId="1" type="noConversion"/>
  </si>
  <si>
    <t>OIP3</t>
    <phoneticPr fontId="1" type="noConversion"/>
  </si>
  <si>
    <t>ΣGain</t>
    <phoneticPr fontId="1" type="noConversion"/>
  </si>
  <si>
    <t>ΣNF</t>
    <phoneticPr fontId="1" type="noConversion"/>
  </si>
  <si>
    <t>ΣOP1dB</t>
    <phoneticPr fontId="1" type="noConversion"/>
  </si>
  <si>
    <t>Output Power</t>
    <phoneticPr fontId="1" type="noConversion"/>
  </si>
  <si>
    <t>Output Back-off</t>
    <phoneticPr fontId="1" type="noConversion"/>
  </si>
  <si>
    <t>IMD3</t>
    <phoneticPr fontId="1" type="noConversion"/>
  </si>
  <si>
    <t>Enter System  Parameter</t>
    <phoneticPr fontId="1" type="noConversion"/>
  </si>
  <si>
    <t>PEP-to-RMS Ratio</t>
    <phoneticPr fontId="1" type="noConversion"/>
  </si>
  <si>
    <t>ACLR</t>
    <phoneticPr fontId="1" type="noConversion"/>
  </si>
  <si>
    <t>Output Back-off Warning</t>
    <phoneticPr fontId="1" type="noConversion"/>
  </si>
  <si>
    <t>MDS</t>
    <phoneticPr fontId="1" type="noConversion"/>
  </si>
  <si>
    <t>Sensitivity</t>
    <phoneticPr fontId="1" type="noConversion"/>
  </si>
  <si>
    <t>Noise Floor</t>
    <phoneticPr fontId="1" type="noConversion"/>
  </si>
  <si>
    <t>OUT MDS</t>
    <phoneticPr fontId="1" type="noConversion"/>
  </si>
  <si>
    <t>公式：</t>
    <phoneticPr fontId="1" type="noConversion"/>
  </si>
  <si>
    <t>dBm/BW</t>
    <phoneticPr fontId="1" type="noConversion"/>
  </si>
  <si>
    <t>Sensitivity=10*LOG(KBT)+NF+S/N</t>
    <phoneticPr fontId="1" type="noConversion"/>
  </si>
  <si>
    <t>OUT Noise Floor</t>
    <phoneticPr fontId="1" type="noConversion"/>
  </si>
  <si>
    <t>OUT MDS=MDS+Gain</t>
    <phoneticPr fontId="1" type="noConversion"/>
  </si>
  <si>
    <t>种类</t>
    <phoneticPr fontId="1" type="noConversion"/>
  </si>
  <si>
    <t>MHz</t>
    <phoneticPr fontId="1" type="noConversion"/>
  </si>
  <si>
    <t>是</t>
  </si>
  <si>
    <t>起控状态</t>
    <phoneticPr fontId="1" type="noConversion"/>
  </si>
  <si>
    <t>是否启用ALC</t>
    <phoneticPr fontId="1" type="noConversion"/>
  </si>
  <si>
    <t>衰减器</t>
  </si>
  <si>
    <t>放大器</t>
  </si>
  <si>
    <t>声表滤波器</t>
  </si>
  <si>
    <t>深起控</t>
    <phoneticPr fontId="1" type="noConversion"/>
  </si>
  <si>
    <t>OUT Noise Floor=Noise Floor+Gain</t>
    <phoneticPr fontId="1" type="noConversion"/>
  </si>
  <si>
    <t>MDS=10*LOG(KBT)+NF</t>
    <phoneticPr fontId="1" type="noConversion"/>
  </si>
  <si>
    <t>SNR=Input Power-MDS</t>
    <phoneticPr fontId="1" type="noConversion"/>
  </si>
  <si>
    <t>ΣOIP3</t>
    <phoneticPr fontId="1" type="noConversion"/>
  </si>
  <si>
    <t xml:space="preserve">Input Power </t>
    <phoneticPr fontId="1" type="noConversion"/>
  </si>
  <si>
    <t>Unit</t>
    <phoneticPr fontId="1" type="noConversion"/>
  </si>
  <si>
    <t>MHz</t>
    <phoneticPr fontId="1" type="noConversion"/>
  </si>
  <si>
    <t>dB</t>
    <phoneticPr fontId="1" type="noConversion"/>
  </si>
  <si>
    <t>dBm</t>
    <phoneticPr fontId="1" type="noConversion"/>
  </si>
  <si>
    <t>dBc</t>
    <phoneticPr fontId="1" type="noConversion"/>
  </si>
  <si>
    <t>Noise BW</t>
    <phoneticPr fontId="1" type="noConversion"/>
  </si>
  <si>
    <t>S/N(for sensitivity)</t>
    <phoneticPr fontId="1" type="noConversion"/>
  </si>
  <si>
    <t>Noise Source</t>
    <phoneticPr fontId="1" type="noConversion"/>
  </si>
  <si>
    <t>K</t>
    <phoneticPr fontId="1" type="noConversion"/>
  </si>
  <si>
    <t>起控功率</t>
    <phoneticPr fontId="1" type="noConversion"/>
  </si>
  <si>
    <t>System analysis</t>
    <phoneticPr fontId="1" type="noConversion"/>
  </si>
  <si>
    <t>dBm/Hz</t>
    <phoneticPr fontId="1" type="noConversion"/>
  </si>
  <si>
    <t>SNR</t>
    <phoneticPr fontId="1" type="noConversion"/>
  </si>
  <si>
    <t>Noise Floor=10*LOG(KT)+NF</t>
    <phoneticPr fontId="1" type="noConversion"/>
  </si>
  <si>
    <t>LNA</t>
  </si>
  <si>
    <t>射频声表</t>
  </si>
  <si>
    <t>Wide Band</t>
  </si>
  <si>
    <t>P1dB</t>
    <phoneticPr fontId="1" type="noConversion"/>
  </si>
  <si>
    <t>8dB</t>
  </si>
  <si>
    <t>频率</t>
    <phoneticPr fontId="1" type="noConversion"/>
  </si>
  <si>
    <t>Gain</t>
    <phoneticPr fontId="1" type="noConversion"/>
  </si>
  <si>
    <t>5dB</t>
  </si>
  <si>
    <t>起控所在位置</t>
    <phoneticPr fontId="1" type="noConversion"/>
  </si>
  <si>
    <t>链路预算工具</t>
    <phoneticPr fontId="1" type="noConversion"/>
  </si>
  <si>
    <t>工作频段</t>
  </si>
  <si>
    <t>开关</t>
  </si>
  <si>
    <t>1.9G</t>
  </si>
  <si>
    <t>2dB</t>
  </si>
  <si>
    <t>AH102</t>
  </si>
  <si>
    <t>AS186-302</t>
    <phoneticPr fontId="1" type="noConversion"/>
  </si>
  <si>
    <t>期望增益</t>
    <phoneticPr fontId="1" type="noConversion"/>
  </si>
  <si>
    <t>BG18C</t>
  </si>
  <si>
    <t>MXD8015H</t>
  </si>
  <si>
    <t>1800-2200</t>
  </si>
  <si>
    <t>1800-2200</t>
    <phoneticPr fontId="1" type="noConversion"/>
  </si>
  <si>
    <t>2110 - 2170</t>
  </si>
  <si>
    <t>Duplexer</t>
  </si>
  <si>
    <t>est.</t>
  </si>
  <si>
    <t>Trace loss</t>
  </si>
  <si>
    <t>Tranceiver</t>
  </si>
  <si>
    <t>WTR3925</t>
  </si>
  <si>
    <t>Filter</t>
  </si>
  <si>
    <t>Tx module</t>
  </si>
  <si>
    <t>SAYEY1G95GA0F0A(B1)</t>
  </si>
  <si>
    <t>SAYEY1G74BC0B0A(B3)</t>
  </si>
  <si>
    <t>Switcher</t>
  </si>
  <si>
    <t>1710-2170</t>
  </si>
  <si>
    <t>704-960</t>
  </si>
  <si>
    <t>SAFFB1G84AB0F0A(B3)</t>
  </si>
  <si>
    <t>SAFFB942MAN0F0A(B8)</t>
  </si>
  <si>
    <t>1805 - 1880</t>
  </si>
  <si>
    <t>2400-2700</t>
  </si>
  <si>
    <t>LTE(HB)</t>
  </si>
  <si>
    <t>LTE(LB)</t>
  </si>
  <si>
    <t>LTE(MB)</t>
  </si>
  <si>
    <t>RF1656</t>
  </si>
  <si>
    <t>2300-2690</t>
  </si>
  <si>
    <t>2620-2690</t>
  </si>
  <si>
    <t>925-960</t>
  </si>
  <si>
    <t>2570-2620</t>
  </si>
  <si>
    <t>est.</t>
    <phoneticPr fontId="1" type="noConversion"/>
  </si>
  <si>
    <t>LNA</t>
    <phoneticPr fontId="1" type="noConversion"/>
  </si>
  <si>
    <t>MXD8015H</t>
    <phoneticPr fontId="1" type="noConversion"/>
  </si>
  <si>
    <t>Trace loss</t>
    <phoneticPr fontId="1" type="noConversion"/>
  </si>
  <si>
    <t>SAFFB2G59AA0F0A(B38RX)</t>
  </si>
  <si>
    <t>PRX</t>
    <phoneticPr fontId="16" type="noConversion"/>
  </si>
  <si>
    <t>DRX</t>
    <phoneticPr fontId="16" type="noConversion"/>
  </si>
  <si>
    <t>B1</t>
    <phoneticPr fontId="16" type="noConversion"/>
  </si>
  <si>
    <t>B3</t>
    <phoneticPr fontId="16" type="noConversion"/>
  </si>
  <si>
    <t>B8</t>
    <phoneticPr fontId="16" type="noConversion"/>
  </si>
  <si>
    <t>B38</t>
    <phoneticPr fontId="16" type="noConversion"/>
  </si>
  <si>
    <t>Tranceiver</t>
    <phoneticPr fontId="1" type="noConversion"/>
  </si>
  <si>
    <t>WTR3925</t>
    <phoneticPr fontId="1" type="noConversion"/>
  </si>
  <si>
    <t>LTE(MB)</t>
    <phoneticPr fontId="1" type="noConversion"/>
  </si>
  <si>
    <t>Switcher</t>
    <phoneticPr fontId="1" type="noConversion"/>
  </si>
  <si>
    <t>RTC8612H</t>
    <phoneticPr fontId="1" type="noConversion"/>
  </si>
  <si>
    <t>2.4G</t>
    <phoneticPr fontId="1" type="noConversion"/>
  </si>
  <si>
    <t>B7</t>
    <phoneticPr fontId="16" type="noConversion"/>
  </si>
  <si>
    <t>否</t>
  </si>
  <si>
    <t>700-1000</t>
  </si>
  <si>
    <t>1700-2200</t>
  </si>
  <si>
    <t>WTR2965</t>
  </si>
  <si>
    <t>RF5212A</t>
  </si>
  <si>
    <t>ANT L</t>
  </si>
  <si>
    <t>ANT M</t>
  </si>
  <si>
    <t>ANT H</t>
  </si>
  <si>
    <t>SAYEY2G53BA0F0A(B7)</t>
  </si>
  <si>
    <t>2620-2690(RX)</t>
  </si>
  <si>
    <t>SAYEY897MBA0B0A(B8)</t>
  </si>
  <si>
    <t>791.25-802.75</t>
  </si>
  <si>
    <t>SAYEY806MBC0F0A(B20)</t>
  </si>
  <si>
    <t>SAFFB2G65AA0F0A(B7)</t>
  </si>
  <si>
    <t>SAFFB806MAA0F0A(B20)</t>
  </si>
  <si>
    <t>791-8121</t>
  </si>
  <si>
    <t>Tranceiver</t>
    <phoneticPr fontId="1" type="noConversion"/>
  </si>
  <si>
    <t>LTE(MB)</t>
    <phoneticPr fontId="1" type="noConversion"/>
  </si>
  <si>
    <t>WTR2965</t>
    <phoneticPr fontId="1" type="noConversion"/>
  </si>
  <si>
    <t>LNA</t>
    <phoneticPr fontId="1" type="noConversion"/>
  </si>
  <si>
    <t>MXD8015H</t>
    <phoneticPr fontId="1" type="noConversion"/>
  </si>
  <si>
    <t>1800-2200</t>
    <phoneticPr fontId="1" type="noConversion"/>
  </si>
  <si>
    <t>B20</t>
    <phoneticPr fontId="16" type="noConversion"/>
  </si>
  <si>
    <r>
      <t>A</t>
    </r>
    <r>
      <rPr>
        <sz val="11"/>
        <color theme="1"/>
        <rFont val="宋体"/>
        <family val="3"/>
        <charset val="134"/>
        <scheme val="minor"/>
      </rPr>
      <t>NT1</t>
    </r>
    <phoneticPr fontId="16" type="noConversion"/>
  </si>
  <si>
    <r>
      <t>A</t>
    </r>
    <r>
      <rPr>
        <sz val="11"/>
        <color theme="1"/>
        <rFont val="宋体"/>
        <family val="3"/>
        <charset val="134"/>
        <scheme val="minor"/>
      </rPr>
      <t>NT2</t>
    </r>
    <phoneticPr fontId="16" type="noConversion"/>
  </si>
  <si>
    <t>天线效率%</t>
    <phoneticPr fontId="16" type="noConversion"/>
  </si>
  <si>
    <t>天线效率dB</t>
    <phoneticPr fontId="16" type="noConversion"/>
  </si>
  <si>
    <t>TIS</t>
    <phoneticPr fontId="16" type="noConversion"/>
  </si>
  <si>
    <t>合路</t>
    <phoneticPr fontId="16" type="noConversion"/>
  </si>
  <si>
    <t>灵敏度</t>
    <phoneticPr fontId="16" type="noConversion"/>
  </si>
  <si>
    <t>Bands</t>
    <phoneticPr fontId="16" type="noConversion"/>
  </si>
  <si>
    <t>B39212-B9876-P810(B1)</t>
  </si>
  <si>
    <t>1710-2170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</si>
</sst>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_ "/>
    <numFmt numFmtId="177" formatCode="0.00_ "/>
  </numFmts>
  <fonts count="1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name val="微软雅黑"/>
      <family val="2"/>
      <charset val="134"/>
    </font>
    <font>
      <sz val="10"/>
      <name val="微软雅黑"/>
      <family val="2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sz val="20"/>
      <color theme="2" tint="-0.89999084444715716"/>
      <name val="微软雅黑"/>
      <family val="2"/>
      <charset val="134"/>
    </font>
    <font>
      <sz val="9"/>
      <color rgb="FF000000"/>
      <name val="Microsoft YaHei UI"/>
      <family val="2"/>
      <charset val="134"/>
    </font>
    <font>
      <sz val="10"/>
      <name val="Arial"/>
      <family val="2"/>
    </font>
    <font>
      <sz val="9"/>
      <name val="宋体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0"/>
        </stop>
        <stop position="1">
          <color theme="0" tint="-5.0965910824915313E-2"/>
        </stop>
      </gradientFill>
    </fill>
    <fill>
      <gradientFill degree="90">
        <stop position="0">
          <color theme="6" tint="0.59999389629810485"/>
        </stop>
        <stop position="1">
          <color theme="6" tint="0.40000610370189521"/>
        </stop>
      </gradientFill>
    </fill>
    <fill>
      <gradientFill degree="90">
        <stop position="0">
          <color theme="8" tint="0.59999389629810485"/>
        </stop>
        <stop position="1">
          <color theme="8" tint="0.40000610370189521"/>
        </stop>
      </gradientFill>
    </fill>
    <fill>
      <patternFill patternType="solid">
        <fgColor theme="4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double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double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double">
        <color theme="0" tint="-0.499984740745262"/>
      </bottom>
      <diagonal/>
    </border>
    <border>
      <left style="thin">
        <color theme="0" tint="-0.499984740745262"/>
      </left>
      <right style="double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double">
        <color theme="0" tint="-0.499984740745262"/>
      </bottom>
      <diagonal/>
    </border>
    <border>
      <left/>
      <right style="thin">
        <color theme="8" tint="-0.499984740745262"/>
      </right>
      <top style="thin">
        <color theme="0" tint="-0.499984740745262"/>
      </top>
      <bottom style="thin">
        <color theme="8" tint="-0.499984740745262"/>
      </bottom>
      <diagonal/>
    </border>
    <border>
      <left style="thin">
        <color theme="6" tint="-0.499984740745262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 style="double">
        <color theme="0" tint="-0.499984740745262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499984740745262"/>
      </left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 style="double">
        <color theme="0" tint="-0.499984740745262"/>
      </right>
      <top style="thin">
        <color theme="6" tint="-0.24994659260841701"/>
      </top>
      <bottom/>
      <diagonal/>
    </border>
    <border>
      <left style="thin">
        <color theme="6" tint="-0.499984740745262"/>
      </left>
      <right style="thin">
        <color theme="6" tint="-0.499984740745262"/>
      </right>
      <top style="double">
        <color theme="6" tint="-0.499984740745262"/>
      </top>
      <bottom style="thin">
        <color theme="6" tint="-0.24994659260841701"/>
      </bottom>
      <diagonal/>
    </border>
    <border>
      <left style="thin">
        <color theme="6" tint="-0.499984740745262"/>
      </left>
      <right style="double">
        <color theme="0" tint="-0.499984740745262"/>
      </right>
      <top style="double">
        <color theme="6" tint="-0.499984740745262"/>
      </top>
      <bottom style="thin">
        <color theme="6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499984740745262"/>
      </left>
      <right style="double">
        <color theme="0" tint="-0.499984740745262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24994659260841701"/>
      </top>
      <bottom style="double">
        <color theme="6" tint="-0.499984740745262"/>
      </bottom>
      <diagonal/>
    </border>
    <border>
      <left style="thin">
        <color theme="6" tint="-0.499984740745262"/>
      </left>
      <right style="double">
        <color theme="0" tint="-0.499984740745262"/>
      </right>
      <top style="thin">
        <color theme="6" tint="-0.24994659260841701"/>
      </top>
      <bottom style="double">
        <color theme="6" tint="-0.499984740745262"/>
      </bottom>
      <diagonal/>
    </border>
    <border>
      <left style="thin">
        <color theme="6" tint="-0.499984740745262"/>
      </left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6" tint="-0.24994659260841701"/>
      </left>
      <right style="double">
        <color theme="0" tint="-0.499984740745262"/>
      </right>
      <top/>
      <bottom style="thin">
        <color theme="6" tint="-0.24994659260841701"/>
      </bottom>
      <diagonal/>
    </border>
    <border>
      <left style="thin">
        <color theme="6" tint="-0.499984740745262"/>
      </left>
      <right style="thin">
        <color theme="6" tint="-0.24994659260841701"/>
      </right>
      <top style="thin">
        <color theme="6" tint="-0.24994659260841701"/>
      </top>
      <bottom style="thin">
        <color theme="6" tint="-0.499984740745262"/>
      </bottom>
      <diagonal/>
    </border>
    <border>
      <left style="thin">
        <color theme="6" tint="-0.24994659260841701"/>
      </left>
      <right style="double">
        <color theme="0" tint="-0.499984740745262"/>
      </right>
      <top style="thin">
        <color theme="6" tint="-0.24994659260841701"/>
      </top>
      <bottom style="thin">
        <color theme="6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double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7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7" borderId="0" applyNumberFormat="0" applyBorder="0" applyAlignment="0" applyProtection="0">
      <alignment vertical="center"/>
    </xf>
    <xf numFmtId="0" fontId="15" fillId="0" borderId="0"/>
    <xf numFmtId="0" fontId="15" fillId="0" borderId="0"/>
  </cellStyleXfs>
  <cellXfs count="80">
    <xf numFmtId="0" fontId="0" fillId="0" borderId="0" xfId="0">
      <alignment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1" fillId="0" borderId="0" xfId="0" applyFont="1" applyAlignment="1" applyProtection="1">
      <alignment horizontal="center" vertical="center"/>
      <protection locked="0"/>
    </xf>
    <xf numFmtId="0" fontId="4" fillId="9" borderId="1" xfId="0" applyFont="1" applyFill="1" applyBorder="1" applyAlignment="1">
      <alignment horizontal="left" vertical="center"/>
    </xf>
    <xf numFmtId="0" fontId="11" fillId="10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right" vertical="center"/>
    </xf>
    <xf numFmtId="0" fontId="11" fillId="10" borderId="0" xfId="0" applyFont="1" applyFill="1" applyAlignment="1">
      <alignment horizontal="left" vertical="center"/>
    </xf>
    <xf numFmtId="0" fontId="11" fillId="10" borderId="0" xfId="0" applyFont="1" applyFill="1" applyBorder="1" applyAlignment="1" applyProtection="1">
      <alignment horizontal="left" vertical="center"/>
    </xf>
    <xf numFmtId="176" fontId="11" fillId="11" borderId="2" xfId="0" applyNumberFormat="1" applyFont="1" applyFill="1" applyBorder="1" applyAlignment="1" applyProtection="1">
      <alignment horizontal="center" vertical="center"/>
    </xf>
    <xf numFmtId="176" fontId="11" fillId="11" borderId="3" xfId="0" applyNumberFormat="1" applyFont="1" applyFill="1" applyBorder="1" applyAlignment="1" applyProtection="1">
      <alignment horizontal="center" vertical="center"/>
    </xf>
    <xf numFmtId="176" fontId="11" fillId="11" borderId="4" xfId="0" applyNumberFormat="1" applyFont="1" applyFill="1" applyBorder="1" applyAlignment="1" applyProtection="1">
      <alignment horizontal="center" vertical="center"/>
    </xf>
    <xf numFmtId="176" fontId="11" fillId="11" borderId="5" xfId="0" applyNumberFormat="1" applyFont="1" applyFill="1" applyBorder="1" applyAlignment="1" applyProtection="1">
      <alignment horizontal="center" vertical="center"/>
    </xf>
    <xf numFmtId="176" fontId="11" fillId="11" borderId="6" xfId="0" applyNumberFormat="1" applyFont="1" applyFill="1" applyBorder="1" applyAlignment="1" applyProtection="1">
      <alignment horizontal="center" vertical="center"/>
    </xf>
    <xf numFmtId="176" fontId="11" fillId="11" borderId="7" xfId="0" applyNumberFormat="1" applyFont="1" applyFill="1" applyBorder="1" applyAlignment="1" applyProtection="1">
      <alignment horizontal="center" vertical="center"/>
    </xf>
    <xf numFmtId="176" fontId="11" fillId="11" borderId="8" xfId="0" applyNumberFormat="1" applyFont="1" applyFill="1" applyBorder="1" applyAlignment="1" applyProtection="1">
      <alignment horizontal="center" vertical="center"/>
    </xf>
    <xf numFmtId="0" fontId="0" fillId="10" borderId="0" xfId="0" applyFill="1" applyAlignment="1">
      <alignment vertical="center"/>
    </xf>
    <xf numFmtId="0" fontId="11" fillId="10" borderId="4" xfId="0" applyFont="1" applyFill="1" applyBorder="1" applyAlignment="1" applyProtection="1">
      <alignment horizontal="center" vertical="center"/>
    </xf>
    <xf numFmtId="0" fontId="4" fillId="12" borderId="9" xfId="0" applyFont="1" applyFill="1" applyBorder="1" applyAlignment="1" applyProtection="1">
      <alignment horizontal="center" vertical="center"/>
      <protection locked="0"/>
    </xf>
    <xf numFmtId="0" fontId="11" fillId="13" borderId="4" xfId="0" applyFont="1" applyFill="1" applyBorder="1" applyAlignment="1" applyProtection="1">
      <alignment horizontal="center" vertical="center"/>
      <protection locked="0"/>
    </xf>
    <xf numFmtId="0" fontId="11" fillId="13" borderId="10" xfId="0" applyFont="1" applyFill="1" applyBorder="1" applyAlignment="1" applyProtection="1">
      <alignment horizontal="center" vertical="center" wrapText="1"/>
      <protection locked="0"/>
    </xf>
    <xf numFmtId="176" fontId="11" fillId="11" borderId="11" xfId="0" applyNumberFormat="1" applyFont="1" applyFill="1" applyBorder="1" applyAlignment="1" applyProtection="1">
      <alignment horizontal="center" vertical="center"/>
    </xf>
    <xf numFmtId="0" fontId="12" fillId="0" borderId="12" xfId="0" applyFont="1" applyFill="1" applyBorder="1" applyAlignment="1" applyProtection="1">
      <alignment horizontal="center" vertical="center" wrapText="1"/>
      <protection locked="0"/>
    </xf>
    <xf numFmtId="0" fontId="12" fillId="10" borderId="12" xfId="0" applyFont="1" applyFill="1" applyBorder="1" applyAlignment="1" applyProtection="1">
      <alignment horizontal="center" vertical="center" wrapText="1"/>
      <protection locked="0"/>
    </xf>
    <xf numFmtId="0" fontId="4" fillId="12" borderId="13" xfId="0" applyFont="1" applyFill="1" applyBorder="1" applyAlignment="1" applyProtection="1">
      <alignment horizontal="center" vertical="center" wrapText="1"/>
    </xf>
    <xf numFmtId="0" fontId="4" fillId="12" borderId="14" xfId="0" applyFont="1" applyFill="1" applyBorder="1" applyAlignment="1" applyProtection="1">
      <alignment horizontal="center" vertical="center" wrapText="1"/>
    </xf>
    <xf numFmtId="0" fontId="4" fillId="12" borderId="13" xfId="0" applyFont="1" applyFill="1" applyBorder="1" applyAlignment="1" applyProtection="1">
      <alignment horizontal="center" vertical="center"/>
    </xf>
    <xf numFmtId="0" fontId="4" fillId="12" borderId="14" xfId="0" applyFont="1" applyFill="1" applyBorder="1" applyAlignment="1" applyProtection="1">
      <alignment horizontal="center" vertical="center"/>
    </xf>
    <xf numFmtId="0" fontId="4" fillId="12" borderId="15" xfId="0" applyFont="1" applyFill="1" applyBorder="1" applyAlignment="1" applyProtection="1">
      <alignment horizontal="center" vertical="center" wrapText="1"/>
    </xf>
    <xf numFmtId="0" fontId="4" fillId="12" borderId="16" xfId="0" applyFont="1" applyFill="1" applyBorder="1" applyAlignment="1" applyProtection="1">
      <alignment horizontal="center" vertical="center" wrapText="1"/>
    </xf>
    <xf numFmtId="0" fontId="4" fillId="12" borderId="17" xfId="0" applyFont="1" applyFill="1" applyBorder="1" applyAlignment="1" applyProtection="1">
      <alignment horizontal="center" vertical="center" wrapText="1"/>
    </xf>
    <xf numFmtId="0" fontId="4" fillId="12" borderId="18" xfId="0" applyFont="1" applyFill="1" applyBorder="1" applyAlignment="1" applyProtection="1">
      <alignment horizontal="center" vertical="center" wrapText="1"/>
    </xf>
    <xf numFmtId="0" fontId="4" fillId="12" borderId="19" xfId="0" applyFont="1" applyFill="1" applyBorder="1" applyAlignment="1" applyProtection="1">
      <alignment horizontal="center" vertical="center" wrapText="1"/>
    </xf>
    <xf numFmtId="0" fontId="4" fillId="12" borderId="20" xfId="0" applyFont="1" applyFill="1" applyBorder="1" applyAlignment="1" applyProtection="1">
      <alignment horizontal="center" vertical="center" wrapText="1"/>
    </xf>
    <xf numFmtId="0" fontId="4" fillId="12" borderId="21" xfId="0" applyFont="1" applyFill="1" applyBorder="1" applyAlignment="1" applyProtection="1">
      <alignment horizontal="center" vertical="center" wrapText="1"/>
    </xf>
    <xf numFmtId="0" fontId="4" fillId="12" borderId="22" xfId="0" applyFont="1" applyFill="1" applyBorder="1" applyAlignment="1" applyProtection="1">
      <alignment horizontal="center" vertical="center" wrapText="1"/>
    </xf>
    <xf numFmtId="0" fontId="4" fillId="12" borderId="23" xfId="0" applyFont="1" applyFill="1" applyBorder="1" applyAlignment="1" applyProtection="1">
      <alignment horizontal="center" vertical="center" wrapText="1"/>
    </xf>
    <xf numFmtId="0" fontId="4" fillId="12" borderId="24" xfId="0" applyFont="1" applyFill="1" applyBorder="1" applyAlignment="1" applyProtection="1">
      <alignment horizontal="center" vertical="center" wrapText="1"/>
    </xf>
    <xf numFmtId="0" fontId="4" fillId="12" borderId="25" xfId="0" applyFont="1" applyFill="1" applyBorder="1" applyAlignment="1" applyProtection="1">
      <alignment horizontal="center" vertical="center" wrapText="1"/>
    </xf>
    <xf numFmtId="0" fontId="4" fillId="12" borderId="26" xfId="0" applyFont="1" applyFill="1" applyBorder="1" applyAlignment="1" applyProtection="1">
      <alignment horizontal="center" vertical="center" wrapText="1"/>
    </xf>
    <xf numFmtId="0" fontId="0" fillId="0" borderId="0" xfId="0" applyAlignment="1">
      <alignment vertical="center"/>
    </xf>
    <xf numFmtId="0" fontId="11" fillId="13" borderId="27" xfId="0" applyFont="1" applyFill="1" applyBorder="1" applyAlignment="1" applyProtection="1">
      <alignment horizontal="center" vertical="center"/>
      <protection locked="0"/>
    </xf>
    <xf numFmtId="0" fontId="11" fillId="13" borderId="10" xfId="0" applyFont="1" applyFill="1" applyBorder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11" fillId="13" borderId="10" xfId="0" applyFont="1" applyFill="1" applyBorder="1" applyAlignment="1" applyProtection="1">
      <alignment horizontal="center" vertical="center"/>
      <protection locked="0"/>
    </xf>
    <xf numFmtId="0" fontId="0" fillId="10" borderId="0" xfId="0" applyFill="1" applyAlignment="1">
      <alignment horizontal="center" vertical="center"/>
    </xf>
    <xf numFmtId="0" fontId="11" fillId="10" borderId="0" xfId="0" applyFont="1" applyFill="1" applyBorder="1" applyAlignment="1" applyProtection="1">
      <alignment horizontal="center" vertical="center"/>
    </xf>
    <xf numFmtId="176" fontId="11" fillId="10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left" vertical="center"/>
    </xf>
    <xf numFmtId="177" fontId="0" fillId="0" borderId="0" xfId="0" applyNumberFormat="1" applyAlignment="1">
      <alignment horizontal="left" vertical="center"/>
    </xf>
    <xf numFmtId="177" fontId="7" fillId="0" borderId="0" xfId="0" applyNumberFormat="1" applyFont="1" applyAlignment="1">
      <alignment horizontal="left" vertical="center"/>
    </xf>
    <xf numFmtId="177" fontId="7" fillId="8" borderId="1" xfId="0" applyNumberFormat="1" applyFont="1" applyFill="1" applyBorder="1" applyAlignment="1">
      <alignment horizontal="left" vertical="center"/>
    </xf>
    <xf numFmtId="177" fontId="7" fillId="14" borderId="1" xfId="0" applyNumberFormat="1" applyFont="1" applyFill="1" applyBorder="1" applyAlignment="1">
      <alignment horizontal="left" vertical="center"/>
    </xf>
    <xf numFmtId="176" fontId="7" fillId="14" borderId="1" xfId="0" applyNumberFormat="1" applyFont="1" applyFill="1" applyBorder="1" applyAlignment="1">
      <alignment horizontal="left" vertical="center"/>
    </xf>
    <xf numFmtId="176" fontId="7" fillId="8" borderId="1" xfId="0" applyNumberFormat="1" applyFont="1" applyFill="1" applyBorder="1" applyAlignment="1">
      <alignment horizontal="left" vertical="center"/>
    </xf>
    <xf numFmtId="177" fontId="0" fillId="14" borderId="1" xfId="0" applyNumberFormat="1" applyFill="1" applyBorder="1" applyAlignment="1">
      <alignment horizontal="left" vertical="center"/>
    </xf>
    <xf numFmtId="176" fontId="0" fillId="14" borderId="1" xfId="0" applyNumberFormat="1" applyFill="1" applyBorder="1" applyAlignment="1">
      <alignment horizontal="left" vertical="center"/>
    </xf>
    <xf numFmtId="177" fontId="7" fillId="8" borderId="1" xfId="0" applyNumberFormat="1" applyFont="1" applyFill="1" applyBorder="1" applyAlignment="1">
      <alignment horizontal="center" vertical="center"/>
    </xf>
    <xf numFmtId="177" fontId="0" fillId="8" borderId="1" xfId="0" applyNumberFormat="1" applyFill="1" applyBorder="1" applyAlignment="1">
      <alignment horizontal="center" vertical="center"/>
    </xf>
    <xf numFmtId="176" fontId="7" fillId="8" borderId="1" xfId="0" applyNumberFormat="1" applyFont="1" applyFill="1" applyBorder="1" applyAlignment="1">
      <alignment horizontal="center" vertical="center"/>
    </xf>
    <xf numFmtId="177" fontId="7" fillId="8" borderId="33" xfId="0" applyNumberFormat="1" applyFont="1" applyFill="1" applyBorder="1" applyAlignment="1">
      <alignment horizontal="center" vertical="center"/>
    </xf>
    <xf numFmtId="177" fontId="7" fillId="8" borderId="34" xfId="0" applyNumberFormat="1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30" xfId="0" applyFont="1" applyBorder="1" applyAlignment="1">
      <alignment horizontal="center" vertical="center"/>
    </xf>
    <xf numFmtId="0" fontId="4" fillId="12" borderId="28" xfId="0" applyFont="1" applyFill="1" applyBorder="1" applyAlignment="1" applyProtection="1">
      <alignment horizontal="center" vertical="center"/>
      <protection locked="0"/>
    </xf>
    <xf numFmtId="0" fontId="4" fillId="12" borderId="29" xfId="0" applyFont="1" applyFill="1" applyBorder="1" applyAlignment="1" applyProtection="1">
      <alignment horizontal="center" vertical="center"/>
      <protection locked="0"/>
    </xf>
    <xf numFmtId="0" fontId="4" fillId="12" borderId="4" xfId="0" applyFont="1" applyFill="1" applyBorder="1" applyAlignment="1" applyProtection="1">
      <alignment horizontal="center" vertical="center"/>
      <protection locked="0"/>
    </xf>
    <xf numFmtId="0" fontId="4" fillId="12" borderId="31" xfId="0" applyFont="1" applyFill="1" applyBorder="1" applyAlignment="1" applyProtection="1">
      <alignment horizontal="center" vertical="center"/>
      <protection locked="0"/>
    </xf>
    <xf numFmtId="0" fontId="4" fillId="12" borderId="32" xfId="0" applyFont="1" applyFill="1" applyBorder="1" applyAlignment="1" applyProtection="1">
      <alignment horizontal="center" vertical="center"/>
      <protection locked="0"/>
    </xf>
    <xf numFmtId="0" fontId="4" fillId="12" borderId="5" xfId="0" applyFont="1" applyFill="1" applyBorder="1" applyAlignment="1" applyProtection="1">
      <alignment horizontal="center" vertical="center"/>
      <protection locked="0"/>
    </xf>
    <xf numFmtId="0" fontId="5" fillId="12" borderId="28" xfId="0" applyFont="1" applyFill="1" applyBorder="1" applyAlignment="1" applyProtection="1">
      <alignment horizontal="center" vertical="center"/>
    </xf>
    <xf numFmtId="0" fontId="5" fillId="12" borderId="29" xfId="0" applyFont="1" applyFill="1" applyBorder="1" applyAlignment="1" applyProtection="1">
      <alignment horizontal="center" vertical="center"/>
    </xf>
    <xf numFmtId="0" fontId="5" fillId="12" borderId="4" xfId="0" applyFont="1" applyFill="1" applyBorder="1" applyAlignment="1" applyProtection="1">
      <alignment horizontal="center" vertical="center"/>
    </xf>
    <xf numFmtId="0" fontId="4" fillId="12" borderId="2" xfId="0" applyFont="1" applyFill="1" applyBorder="1" applyAlignment="1" applyProtection="1">
      <alignment horizontal="center" vertical="center"/>
      <protection locked="0"/>
    </xf>
    <xf numFmtId="0" fontId="4" fillId="12" borderId="2" xfId="0" applyFont="1" applyFill="1" applyBorder="1" applyAlignment="1" applyProtection="1">
      <alignment horizontal="left" vertical="center"/>
      <protection locked="0"/>
    </xf>
    <xf numFmtId="0" fontId="5" fillId="12" borderId="28" xfId="0" applyFont="1" applyFill="1" applyBorder="1" applyAlignment="1" applyProtection="1">
      <alignment horizontal="left" vertical="center"/>
    </xf>
    <xf numFmtId="0" fontId="5" fillId="12" borderId="29" xfId="0" applyFont="1" applyFill="1" applyBorder="1" applyAlignment="1" applyProtection="1">
      <alignment horizontal="left" vertical="center"/>
    </xf>
    <xf numFmtId="0" fontId="5" fillId="12" borderId="4" xfId="0" applyFont="1" applyFill="1" applyBorder="1" applyAlignment="1" applyProtection="1">
      <alignment horizontal="left" vertical="center"/>
    </xf>
    <xf numFmtId="0" fontId="11" fillId="0" borderId="0" xfId="0" quotePrefix="1" applyFont="1" applyAlignment="1">
      <alignment horizontal="left" vertical="center"/>
    </xf>
  </cellXfs>
  <cellStyles count="20">
    <cellStyle name="40% - 强调文字颜色 1 2" xfId="1"/>
    <cellStyle name="Normal 13" xfId="18"/>
    <cellStyle name="差_iCascade" xfId="6"/>
    <cellStyle name="差_iCascade_1" xfId="7"/>
    <cellStyle name="常规" xfId="0" builtinId="0"/>
    <cellStyle name="常规 10" xfId="8"/>
    <cellStyle name="常规 2" xfId="9"/>
    <cellStyle name="常规 6" xfId="10"/>
    <cellStyle name="常规 6 2" xfId="11"/>
    <cellStyle name="常规 7" xfId="12"/>
    <cellStyle name="常规 7 2" xfId="13"/>
    <cellStyle name="常规 8" xfId="14"/>
    <cellStyle name="常规 8 2" xfId="15"/>
    <cellStyle name="常规 9" xfId="16"/>
    <cellStyle name="好 10" xfId="2"/>
    <cellStyle name="好 9" xfId="3"/>
    <cellStyle name="好_iCascade" xfId="4"/>
    <cellStyle name="好_iCascade_1" xfId="5"/>
    <cellStyle name="强调文字颜色 3 2" xfId="17"/>
    <cellStyle name="样式 1" xfId="19"/>
  </cellStyles>
  <dxfs count="136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FF0000"/>
      </font>
    </dxf>
    <dxf>
      <font>
        <color rgb="FF00B050"/>
      </font>
    </dxf>
    <dxf>
      <font>
        <color theme="6" tint="0.39994506668294322"/>
      </font>
      <fill>
        <gradientFill degree="90">
          <stop position="0">
            <color theme="6" tint="0.59999389629810485"/>
          </stop>
          <stop position="1">
            <color theme="6" tint="0.40000610370189521"/>
          </stop>
        </gradientFill>
      </fill>
    </dxf>
    <dxf>
      <font>
        <color theme="0" tint="-0.34998626667073579"/>
      </font>
      <fill>
        <gradientFill degree="90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color theme="6" tint="0.39994506668294322"/>
      </font>
      <fill>
        <gradientFill degree="90">
          <stop position="0">
            <color theme="6" tint="0.59999389629810485"/>
          </stop>
          <stop position="1">
            <color theme="6" tint="0.40000610370189521"/>
          </stop>
        </gradientFill>
      </fill>
    </dxf>
    <dxf>
      <font>
        <color theme="0" tint="-0.34998626667073579"/>
      </font>
      <fill>
        <gradientFill degree="90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gradientFill degree="90">
          <stop position="0">
            <color rgb="FFFF0000"/>
          </stop>
          <stop position="1">
            <color rgb="FFC00000"/>
          </stop>
        </gradient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gradientFill degree="90">
          <stop position="0">
            <color rgb="FF3C9453"/>
          </stop>
          <stop position="1">
            <color rgb="FF2C5E43"/>
          </stop>
        </gradientFill>
      </fill>
    </dxf>
    <dxf>
      <font>
        <color theme="1" tint="4.9989318521683403E-2"/>
        <name val="宋体"/>
        <scheme val="none"/>
      </font>
      <fill>
        <patternFill patternType="lightDown">
          <fgColor theme="1" tint="0.499984740745262"/>
          <bgColor theme="0" tint="-0.24994659260841701"/>
        </patternFill>
      </fill>
    </dxf>
    <dxf>
      <font>
        <color theme="0"/>
      </font>
      <fill>
        <gradientFill degree="90">
          <stop position="0">
            <color rgb="FFFF0000"/>
          </stop>
          <stop position="1">
            <color rgb="FFC00000"/>
          </stop>
        </gradientFill>
      </fill>
    </dxf>
    <dxf>
      <font>
        <color rgb="FFFF0000"/>
      </font>
    </dxf>
    <dxf>
      <font>
        <color rgb="FF00B050"/>
      </font>
    </dxf>
    <dxf>
      <font>
        <color theme="6" tint="0.39994506668294322"/>
      </font>
      <fill>
        <gradientFill degree="90">
          <stop position="0">
            <color theme="6" tint="0.59999389629810485"/>
          </stop>
          <stop position="1">
            <color theme="6" tint="0.40000610370189521"/>
          </stop>
        </gradientFill>
      </fill>
    </dxf>
    <dxf>
      <font>
        <color theme="0" tint="-0.34998626667073579"/>
      </font>
      <fill>
        <gradientFill degree="90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color theme="6" tint="0.39994506668294322"/>
      </font>
      <fill>
        <gradientFill degree="90">
          <stop position="0">
            <color theme="6" tint="0.59999389629810485"/>
          </stop>
          <stop position="1">
            <color theme="6" tint="0.40000610370189521"/>
          </stop>
        </gradientFill>
      </fill>
    </dxf>
    <dxf>
      <font>
        <color theme="0" tint="-0.34998626667073579"/>
      </font>
      <fill>
        <gradientFill degree="90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gradientFill degree="90">
          <stop position="0">
            <color rgb="FFFF0000"/>
          </stop>
          <stop position="1">
            <color rgb="FFC00000"/>
          </stop>
        </gradient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gradientFill degree="90">
          <stop position="0">
            <color rgb="FF3C9453"/>
          </stop>
          <stop position="1">
            <color rgb="FF2C5E43"/>
          </stop>
        </gradientFill>
      </fill>
    </dxf>
    <dxf>
      <font>
        <color theme="1" tint="4.9989318521683403E-2"/>
        <name val="宋体"/>
        <scheme val="none"/>
      </font>
      <fill>
        <patternFill patternType="lightDown">
          <fgColor theme="1" tint="0.499984740745262"/>
          <bgColor theme="0" tint="-0.24994659260841701"/>
        </patternFill>
      </fill>
    </dxf>
    <dxf>
      <font>
        <color theme="0"/>
      </font>
      <fill>
        <gradientFill degree="90">
          <stop position="0">
            <color rgb="FFFF0000"/>
          </stop>
          <stop position="1">
            <color rgb="FFC00000"/>
          </stop>
        </gradientFill>
      </fill>
    </dxf>
    <dxf>
      <font>
        <color rgb="FFFF0000"/>
      </font>
    </dxf>
    <dxf>
      <font>
        <color rgb="FF00B050"/>
      </font>
    </dxf>
    <dxf>
      <font>
        <color theme="6" tint="0.39994506668294322"/>
      </font>
      <fill>
        <gradientFill degree="90">
          <stop position="0">
            <color theme="6" tint="0.59999389629810485"/>
          </stop>
          <stop position="1">
            <color theme="6" tint="0.40000610370189521"/>
          </stop>
        </gradientFill>
      </fill>
    </dxf>
    <dxf>
      <font>
        <color theme="0" tint="-0.34998626667073579"/>
      </font>
      <fill>
        <gradientFill degree="90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color theme="6" tint="0.39994506668294322"/>
      </font>
      <fill>
        <gradientFill degree="90">
          <stop position="0">
            <color theme="6" tint="0.59999389629810485"/>
          </stop>
          <stop position="1">
            <color theme="6" tint="0.40000610370189521"/>
          </stop>
        </gradientFill>
      </fill>
    </dxf>
    <dxf>
      <font>
        <color theme="0" tint="-0.34998626667073579"/>
      </font>
      <fill>
        <gradientFill degree="90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gradientFill degree="90">
          <stop position="0">
            <color rgb="FFFF0000"/>
          </stop>
          <stop position="1">
            <color rgb="FFC00000"/>
          </stop>
        </gradient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gradientFill degree="90">
          <stop position="0">
            <color rgb="FF3C9453"/>
          </stop>
          <stop position="1">
            <color rgb="FF2C5E43"/>
          </stop>
        </gradientFill>
      </fill>
    </dxf>
    <dxf>
      <font>
        <color theme="1" tint="4.9989318521683403E-2"/>
        <name val="宋体"/>
        <scheme val="none"/>
      </font>
      <fill>
        <patternFill patternType="lightDown">
          <fgColor theme="1" tint="0.499984740745262"/>
          <bgColor theme="0" tint="-0.24994659260841701"/>
        </patternFill>
      </fill>
    </dxf>
    <dxf>
      <font>
        <color theme="0"/>
      </font>
      <fill>
        <gradientFill degree="90">
          <stop position="0">
            <color rgb="FFFF0000"/>
          </stop>
          <stop position="1">
            <color rgb="FFC00000"/>
          </stop>
        </gradientFill>
      </fill>
    </dxf>
    <dxf>
      <font>
        <color rgb="FFFF0000"/>
      </font>
    </dxf>
    <dxf>
      <font>
        <color rgb="FF00B050"/>
      </font>
    </dxf>
    <dxf>
      <font>
        <color theme="6" tint="0.39994506668294322"/>
      </font>
      <fill>
        <gradientFill degree="90">
          <stop position="0">
            <color theme="6" tint="0.59999389629810485"/>
          </stop>
          <stop position="1">
            <color theme="6" tint="0.40000610370189521"/>
          </stop>
        </gradientFill>
      </fill>
    </dxf>
    <dxf>
      <font>
        <color theme="0" tint="-0.34998626667073579"/>
      </font>
      <fill>
        <gradientFill degree="90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color theme="6" tint="0.39994506668294322"/>
      </font>
      <fill>
        <gradientFill degree="90">
          <stop position="0">
            <color theme="6" tint="0.59999389629810485"/>
          </stop>
          <stop position="1">
            <color theme="6" tint="0.40000610370189521"/>
          </stop>
        </gradientFill>
      </fill>
    </dxf>
    <dxf>
      <font>
        <color theme="0" tint="-0.34998626667073579"/>
      </font>
      <fill>
        <gradientFill degree="90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gradientFill degree="90">
          <stop position="0">
            <color rgb="FFFF0000"/>
          </stop>
          <stop position="1">
            <color rgb="FFC00000"/>
          </stop>
        </gradient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gradientFill degree="90">
          <stop position="0">
            <color rgb="FF3C9453"/>
          </stop>
          <stop position="1">
            <color rgb="FF2C5E43"/>
          </stop>
        </gradientFill>
      </fill>
    </dxf>
    <dxf>
      <font>
        <color theme="1" tint="4.9989318521683403E-2"/>
        <name val="宋体"/>
        <scheme val="none"/>
      </font>
      <fill>
        <patternFill patternType="lightDown">
          <fgColor theme="1" tint="0.499984740745262"/>
          <bgColor theme="0" tint="-0.24994659260841701"/>
        </patternFill>
      </fill>
    </dxf>
    <dxf>
      <font>
        <color theme="0"/>
      </font>
      <fill>
        <gradientFill degree="90">
          <stop position="0">
            <color rgb="FFFF0000"/>
          </stop>
          <stop position="1">
            <color rgb="FFC00000"/>
          </stop>
        </gradientFill>
      </fill>
    </dxf>
    <dxf>
      <font>
        <color rgb="FFFF0000"/>
      </font>
    </dxf>
    <dxf>
      <font>
        <color rgb="FF00B050"/>
      </font>
    </dxf>
    <dxf>
      <font>
        <color theme="6" tint="0.39994506668294322"/>
      </font>
      <fill>
        <gradientFill degree="90">
          <stop position="0">
            <color theme="6" tint="0.59999389629810485"/>
          </stop>
          <stop position="1">
            <color theme="6" tint="0.40000610370189521"/>
          </stop>
        </gradientFill>
      </fill>
    </dxf>
    <dxf>
      <font>
        <color theme="0" tint="-0.34998626667073579"/>
      </font>
      <fill>
        <gradientFill degree="90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color theme="6" tint="0.39994506668294322"/>
      </font>
      <fill>
        <gradientFill degree="90">
          <stop position="0">
            <color theme="6" tint="0.59999389629810485"/>
          </stop>
          <stop position="1">
            <color theme="6" tint="0.40000610370189521"/>
          </stop>
        </gradientFill>
      </fill>
    </dxf>
    <dxf>
      <font>
        <color theme="0" tint="-0.34998626667073579"/>
      </font>
      <fill>
        <gradientFill degree="90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gradientFill degree="90">
          <stop position="0">
            <color rgb="FFFF0000"/>
          </stop>
          <stop position="1">
            <color rgb="FFC00000"/>
          </stop>
        </gradient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gradientFill degree="90">
          <stop position="0">
            <color rgb="FF3C9453"/>
          </stop>
          <stop position="1">
            <color rgb="FF2C5E43"/>
          </stop>
        </gradientFill>
      </fill>
    </dxf>
    <dxf>
      <font>
        <color theme="1" tint="4.9989318521683403E-2"/>
        <name val="宋体"/>
        <scheme val="none"/>
      </font>
      <fill>
        <patternFill patternType="lightDown">
          <fgColor theme="1" tint="0.499984740745262"/>
          <bgColor theme="0" tint="-0.24994659260841701"/>
        </patternFill>
      </fill>
    </dxf>
    <dxf>
      <font>
        <color theme="0"/>
      </font>
      <fill>
        <gradientFill degree="90">
          <stop position="0">
            <color rgb="FFFF0000"/>
          </stop>
          <stop position="1">
            <color rgb="FFC00000"/>
          </stop>
        </gradientFill>
      </fill>
    </dxf>
    <dxf>
      <font>
        <color rgb="FFFF0000"/>
      </font>
    </dxf>
    <dxf>
      <font>
        <color rgb="FF00B050"/>
      </font>
    </dxf>
    <dxf>
      <font>
        <color theme="6" tint="0.39994506668294322"/>
      </font>
      <fill>
        <gradientFill degree="90">
          <stop position="0">
            <color theme="6" tint="0.59999389629810485"/>
          </stop>
          <stop position="1">
            <color theme="6" tint="0.40000610370189521"/>
          </stop>
        </gradientFill>
      </fill>
    </dxf>
    <dxf>
      <font>
        <color theme="0" tint="-0.34998626667073579"/>
      </font>
      <fill>
        <gradientFill degree="90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color theme="6" tint="0.39994506668294322"/>
      </font>
      <fill>
        <gradientFill degree="90">
          <stop position="0">
            <color theme="6" tint="0.59999389629810485"/>
          </stop>
          <stop position="1">
            <color theme="6" tint="0.40000610370189521"/>
          </stop>
        </gradientFill>
      </fill>
    </dxf>
    <dxf>
      <font>
        <color theme="0" tint="-0.34998626667073579"/>
      </font>
      <fill>
        <gradientFill degree="90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gradientFill degree="90">
          <stop position="0">
            <color rgb="FFFF0000"/>
          </stop>
          <stop position="1">
            <color rgb="FFC00000"/>
          </stop>
        </gradient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gradientFill degree="90">
          <stop position="0">
            <color rgb="FF3C9453"/>
          </stop>
          <stop position="1">
            <color rgb="FF2C5E43"/>
          </stop>
        </gradientFill>
      </fill>
    </dxf>
    <dxf>
      <font>
        <color theme="1" tint="4.9989318521683403E-2"/>
        <name val="宋体"/>
        <scheme val="none"/>
      </font>
      <fill>
        <patternFill patternType="lightDown">
          <fgColor theme="1" tint="0.499984740745262"/>
          <bgColor theme="0" tint="-0.24994659260841701"/>
        </patternFill>
      </fill>
    </dxf>
    <dxf>
      <font>
        <color theme="0"/>
      </font>
      <fill>
        <gradientFill degree="90">
          <stop position="0">
            <color rgb="FFFF0000"/>
          </stop>
          <stop position="1">
            <color rgb="FFC00000"/>
          </stop>
        </gradientFill>
      </fill>
    </dxf>
    <dxf>
      <font>
        <color rgb="FFFF0000"/>
      </font>
    </dxf>
    <dxf>
      <font>
        <color rgb="FF00B050"/>
      </font>
    </dxf>
    <dxf>
      <font>
        <color theme="6" tint="0.39994506668294322"/>
      </font>
      <fill>
        <gradientFill degree="90">
          <stop position="0">
            <color theme="6" tint="0.59999389629810485"/>
          </stop>
          <stop position="1">
            <color theme="6" tint="0.40000610370189521"/>
          </stop>
        </gradientFill>
      </fill>
    </dxf>
    <dxf>
      <font>
        <color theme="0" tint="-0.34998626667073579"/>
      </font>
      <fill>
        <gradientFill degree="90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color theme="6" tint="0.39994506668294322"/>
      </font>
      <fill>
        <gradientFill degree="90">
          <stop position="0">
            <color theme="6" tint="0.59999389629810485"/>
          </stop>
          <stop position="1">
            <color theme="6" tint="0.40000610370189521"/>
          </stop>
        </gradientFill>
      </fill>
    </dxf>
    <dxf>
      <font>
        <color theme="0" tint="-0.34998626667073579"/>
      </font>
      <fill>
        <gradientFill degree="90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gradientFill degree="90">
          <stop position="0">
            <color rgb="FFFF0000"/>
          </stop>
          <stop position="1">
            <color rgb="FFC00000"/>
          </stop>
        </gradient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gradientFill degree="90">
          <stop position="0">
            <color rgb="FF3C9453"/>
          </stop>
          <stop position="1">
            <color rgb="FF2C5E43"/>
          </stop>
        </gradientFill>
      </fill>
    </dxf>
    <dxf>
      <font>
        <color theme="1" tint="4.9989318521683403E-2"/>
        <name val="宋体"/>
        <scheme val="none"/>
      </font>
      <fill>
        <patternFill patternType="lightDown">
          <fgColor theme="1" tint="0.499984740745262"/>
          <bgColor theme="0" tint="-0.24994659260841701"/>
        </patternFill>
      </fill>
    </dxf>
    <dxf>
      <font>
        <color theme="0"/>
      </font>
      <fill>
        <gradientFill degree="90">
          <stop position="0">
            <color rgb="FFFF0000"/>
          </stop>
          <stop position="1">
            <color rgb="FFC00000"/>
          </stop>
        </gradientFill>
      </fill>
    </dxf>
    <dxf>
      <font>
        <color rgb="FFFF0000"/>
      </font>
    </dxf>
    <dxf>
      <font>
        <color rgb="FF00B050"/>
      </font>
    </dxf>
    <dxf>
      <font>
        <color theme="6" tint="0.39994506668294322"/>
      </font>
      <fill>
        <gradientFill degree="90">
          <stop position="0">
            <color theme="6" tint="0.59999389629810485"/>
          </stop>
          <stop position="1">
            <color theme="6" tint="0.40000610370189521"/>
          </stop>
        </gradientFill>
      </fill>
    </dxf>
    <dxf>
      <font>
        <color theme="0" tint="-0.34998626667073579"/>
      </font>
      <fill>
        <gradientFill degree="90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color theme="6" tint="0.39994506668294322"/>
      </font>
      <fill>
        <gradientFill degree="90">
          <stop position="0">
            <color theme="6" tint="0.59999389629810485"/>
          </stop>
          <stop position="1">
            <color theme="6" tint="0.40000610370189521"/>
          </stop>
        </gradientFill>
      </fill>
    </dxf>
    <dxf>
      <font>
        <color theme="0" tint="-0.34998626667073579"/>
      </font>
      <fill>
        <gradientFill degree="90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gradientFill degree="90">
          <stop position="0">
            <color rgb="FFFF0000"/>
          </stop>
          <stop position="1">
            <color rgb="FFC00000"/>
          </stop>
        </gradient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gradientFill degree="90">
          <stop position="0">
            <color rgb="FF3C9453"/>
          </stop>
          <stop position="1">
            <color rgb="FF2C5E43"/>
          </stop>
        </gradientFill>
      </fill>
    </dxf>
    <dxf>
      <font>
        <color theme="1" tint="4.9989318521683403E-2"/>
        <name val="宋体"/>
        <scheme val="none"/>
      </font>
      <fill>
        <patternFill patternType="lightDown">
          <fgColor theme="1" tint="0.499984740745262"/>
          <bgColor theme="0" tint="-0.24994659260841701"/>
        </patternFill>
      </fill>
    </dxf>
    <dxf>
      <font>
        <color theme="0"/>
      </font>
      <fill>
        <gradientFill degree="90">
          <stop position="0">
            <color rgb="FFFF0000"/>
          </stop>
          <stop position="1">
            <color rgb="FFC00000"/>
          </stop>
        </gradientFill>
      </fill>
    </dxf>
    <dxf>
      <font>
        <color rgb="FFFF0000"/>
      </font>
    </dxf>
    <dxf>
      <font>
        <color rgb="FF00B050"/>
      </font>
    </dxf>
    <dxf>
      <font>
        <color theme="6" tint="0.39994506668294322"/>
      </font>
      <fill>
        <gradientFill degree="90">
          <stop position="0">
            <color theme="6" tint="0.59999389629810485"/>
          </stop>
          <stop position="1">
            <color theme="6" tint="0.40000610370189521"/>
          </stop>
        </gradientFill>
      </fill>
    </dxf>
    <dxf>
      <font>
        <color theme="0" tint="-0.34998626667073579"/>
      </font>
      <fill>
        <gradientFill degree="90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color theme="6" tint="0.39994506668294322"/>
      </font>
      <fill>
        <gradientFill degree="90">
          <stop position="0">
            <color theme="6" tint="0.59999389629810485"/>
          </stop>
          <stop position="1">
            <color theme="6" tint="0.40000610370189521"/>
          </stop>
        </gradientFill>
      </fill>
    </dxf>
    <dxf>
      <font>
        <color theme="0" tint="-0.34998626667073579"/>
      </font>
      <fill>
        <gradientFill degree="90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gradientFill degree="90">
          <stop position="0">
            <color rgb="FFFF0000"/>
          </stop>
          <stop position="1">
            <color rgb="FFC00000"/>
          </stop>
        </gradient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gradientFill degree="90">
          <stop position="0">
            <color rgb="FF3C9453"/>
          </stop>
          <stop position="1">
            <color rgb="FF2C5E43"/>
          </stop>
        </gradientFill>
      </fill>
    </dxf>
    <dxf>
      <font>
        <color theme="1" tint="4.9989318521683403E-2"/>
        <name val="宋体"/>
        <scheme val="none"/>
      </font>
      <fill>
        <patternFill patternType="lightDown">
          <fgColor theme="1" tint="0.499984740745262"/>
          <bgColor theme="0" tint="-0.24994659260841701"/>
        </patternFill>
      </fill>
    </dxf>
    <dxf>
      <font>
        <color theme="0"/>
      </font>
      <fill>
        <gradientFill degree="90">
          <stop position="0">
            <color rgb="FFFF0000"/>
          </stop>
          <stop position="1">
            <color rgb="FFC00000"/>
          </stop>
        </gradientFill>
      </fill>
    </dxf>
    <dxf>
      <font>
        <color rgb="FFFF0000"/>
      </font>
    </dxf>
    <dxf>
      <font>
        <color rgb="FF00B050"/>
      </font>
    </dxf>
    <dxf>
      <font>
        <color theme="6" tint="0.39994506668294322"/>
      </font>
      <fill>
        <gradientFill degree="90">
          <stop position="0">
            <color theme="6" tint="0.59999389629810485"/>
          </stop>
          <stop position="1">
            <color theme="6" tint="0.40000610370189521"/>
          </stop>
        </gradientFill>
      </fill>
    </dxf>
    <dxf>
      <font>
        <color theme="0" tint="-0.34998626667073579"/>
      </font>
      <fill>
        <gradientFill degree="90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color theme="6" tint="0.39994506668294322"/>
      </font>
      <fill>
        <gradientFill degree="90">
          <stop position="0">
            <color theme="6" tint="0.59999389629810485"/>
          </stop>
          <stop position="1">
            <color theme="6" tint="0.40000610370189521"/>
          </stop>
        </gradientFill>
      </fill>
    </dxf>
    <dxf>
      <font>
        <color theme="0" tint="-0.34998626667073579"/>
      </font>
      <fill>
        <gradientFill degree="90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gradientFill degree="90">
          <stop position="0">
            <color rgb="FFFF0000"/>
          </stop>
          <stop position="1">
            <color rgb="FFC00000"/>
          </stop>
        </gradient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gradientFill degree="90">
          <stop position="0">
            <color rgb="FF3C9453"/>
          </stop>
          <stop position="1">
            <color rgb="FF2C5E43"/>
          </stop>
        </gradientFill>
      </fill>
    </dxf>
    <dxf>
      <font>
        <color theme="1" tint="4.9989318521683403E-2"/>
        <name val="宋体"/>
        <scheme val="none"/>
      </font>
      <fill>
        <patternFill patternType="lightDown">
          <fgColor theme="1" tint="0.499984740745262"/>
          <bgColor theme="0" tint="-0.24994659260841701"/>
        </patternFill>
      </fill>
    </dxf>
    <dxf>
      <font>
        <color theme="0"/>
      </font>
      <fill>
        <gradientFill degree="90">
          <stop position="0">
            <color rgb="FFFF0000"/>
          </stop>
          <stop position="1">
            <color rgb="FFC00000"/>
          </stop>
        </gradientFill>
      </fill>
    </dxf>
    <dxf>
      <font>
        <color rgb="FFFF0000"/>
      </font>
    </dxf>
    <dxf>
      <font>
        <color rgb="FF00B050"/>
      </font>
    </dxf>
    <dxf>
      <font>
        <color theme="6" tint="0.39994506668294322"/>
      </font>
      <fill>
        <gradientFill degree="90">
          <stop position="0">
            <color theme="6" tint="0.59999389629810485"/>
          </stop>
          <stop position="1">
            <color theme="6" tint="0.40000610370189521"/>
          </stop>
        </gradientFill>
      </fill>
    </dxf>
    <dxf>
      <font>
        <color theme="0" tint="-0.34998626667073579"/>
      </font>
      <fill>
        <gradientFill degree="90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color theme="6" tint="0.39994506668294322"/>
      </font>
      <fill>
        <gradientFill degree="90">
          <stop position="0">
            <color theme="6" tint="0.59999389629810485"/>
          </stop>
          <stop position="1">
            <color theme="6" tint="0.40000610370189521"/>
          </stop>
        </gradientFill>
      </fill>
    </dxf>
    <dxf>
      <font>
        <color theme="0" tint="-0.34998626667073579"/>
      </font>
      <fill>
        <gradientFill degree="90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gradientFill degree="90">
          <stop position="0">
            <color rgb="FFFF0000"/>
          </stop>
          <stop position="1">
            <color rgb="FFC00000"/>
          </stop>
        </gradient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gradientFill degree="90">
          <stop position="0">
            <color rgb="FF3C9453"/>
          </stop>
          <stop position="1">
            <color rgb="FF2C5E43"/>
          </stop>
        </gradientFill>
      </fill>
    </dxf>
    <dxf>
      <font>
        <color theme="1" tint="4.9989318521683403E-2"/>
        <name val="宋体"/>
        <scheme val="none"/>
      </font>
      <fill>
        <patternFill patternType="lightDown">
          <fgColor theme="1" tint="0.499984740745262"/>
          <bgColor theme="0" tint="-0.24994659260841701"/>
        </patternFill>
      </fill>
    </dxf>
    <dxf>
      <font>
        <color theme="0"/>
      </font>
      <fill>
        <gradientFill degree="90">
          <stop position="0">
            <color rgb="FFFF0000"/>
          </stop>
          <stop position="1">
            <color rgb="FFC00000"/>
          </stop>
        </gradientFill>
      </fill>
    </dxf>
    <dxf>
      <font>
        <color rgb="FFFF0000"/>
      </font>
    </dxf>
    <dxf>
      <font>
        <color rgb="FF00B050"/>
      </font>
    </dxf>
    <dxf>
      <font>
        <color theme="6" tint="0.39994506668294322"/>
      </font>
      <fill>
        <gradientFill degree="90">
          <stop position="0">
            <color theme="6" tint="0.59999389629810485"/>
          </stop>
          <stop position="1">
            <color theme="6" tint="0.40000610370189521"/>
          </stop>
        </gradientFill>
      </fill>
    </dxf>
    <dxf>
      <font>
        <color theme="0" tint="-0.34998626667073579"/>
      </font>
      <fill>
        <gradientFill degree="90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color theme="6" tint="0.39994506668294322"/>
      </font>
      <fill>
        <gradientFill degree="90">
          <stop position="0">
            <color theme="6" tint="0.59999389629810485"/>
          </stop>
          <stop position="1">
            <color theme="6" tint="0.40000610370189521"/>
          </stop>
        </gradientFill>
      </fill>
    </dxf>
    <dxf>
      <font>
        <color theme="0" tint="-0.34998626667073579"/>
      </font>
      <fill>
        <gradientFill degree="90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gradientFill degree="90">
          <stop position="0">
            <color rgb="FFFF0000"/>
          </stop>
          <stop position="1">
            <color rgb="FFC00000"/>
          </stop>
        </gradient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gradientFill degree="90">
          <stop position="0">
            <color rgb="FF3C9453"/>
          </stop>
          <stop position="1">
            <color rgb="FF2C5E43"/>
          </stop>
        </gradientFill>
      </fill>
    </dxf>
    <dxf>
      <font>
        <color theme="1" tint="4.9989318521683403E-2"/>
        <name val="宋体"/>
        <scheme val="none"/>
      </font>
      <fill>
        <patternFill patternType="lightDown">
          <fgColor theme="1" tint="0.499984740745262"/>
          <bgColor theme="0" tint="-0.24994659260841701"/>
        </patternFill>
      </fill>
    </dxf>
    <dxf>
      <font>
        <color theme="0"/>
      </font>
      <fill>
        <gradientFill degree="90">
          <stop position="0">
            <color rgb="FFFF0000"/>
          </stop>
          <stop position="1">
            <color rgb="FFC00000"/>
          </stop>
        </gradient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6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4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25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4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35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7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9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40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2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4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45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7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9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2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4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55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7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9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60.xml><?xml version="1.0" encoding="utf-8"?>
<ax:ocx xmlns:ax="http://schemas.microsoft.com/office/2006/activeX" xmlns:r="http://schemas.openxmlformats.org/officeDocument/2006/relationships" ax:classid="{8BD21D10-EC42-11CE-9E0D-00AA006002F3}" r:id="rId1"/>
</file>

<file path=xl/ctrlProps/ctrlProp1.xml><?xml version="1.0" encoding="utf-8"?>
<formControlPr xmlns="http://schemas.microsoft.com/office/spreadsheetml/2009/9/main" objectType="CheckBox" checked="Checked" fmlaLink="$D$4" lockText="1" noThreeD="1"/>
</file>

<file path=xl/ctrlProps/ctrlProp2.xml><?xml version="1.0" encoding="utf-8"?>
<formControlPr xmlns="http://schemas.microsoft.com/office/spreadsheetml/2009/9/main" objectType="CheckBox" checked="Checked" fmlaLink="$E$4" lockText="1"/>
</file>

<file path=xl/ctrlProps/ctrlProp3.xml><?xml version="1.0" encoding="utf-8"?>
<formControlPr xmlns="http://schemas.microsoft.com/office/spreadsheetml/2009/9/main" objectType="CheckBox" fmlaLink="$Q$4" lockText="1"/>
</file>

<file path=xl/ctrlProps/ctrlProp4.xml><?xml version="1.0" encoding="utf-8"?>
<formControlPr xmlns="http://schemas.microsoft.com/office/spreadsheetml/2009/9/main" objectType="CheckBox" checked="Checked" fmlaLink="$D$4" lockText="1" noThreeD="1"/>
</file>

<file path=xl/ctrlProps/ctrlProp5.xml><?xml version="1.0" encoding="utf-8"?>
<formControlPr xmlns="http://schemas.microsoft.com/office/spreadsheetml/2009/9/main" objectType="CheckBox" checked="Checked" fmlaLink="$D$4" lockText="1" noThreeD="1"/>
</file>

<file path=xl/ctrlProps/ctrlProp6.xml><?xml version="1.0" encoding="utf-8"?>
<formControlPr xmlns="http://schemas.microsoft.com/office/spreadsheetml/2009/9/main" objectType="CheckBox" checked="Checked" fmlaLink="$E$4" lockText="1"/>
</file>

<file path=xl/ctrlProps/ctrlProp7.xml><?xml version="1.0" encoding="utf-8"?>
<formControlPr xmlns="http://schemas.microsoft.com/office/spreadsheetml/2009/9/main" objectType="CheckBox" checked="Checked" fmlaLink="$D$4" lockText="1"/>
</file>

<file path=xl/ctrlProps/ctrlProp8.xml><?xml version="1.0" encoding="utf-8"?>
<formControlPr xmlns="http://schemas.microsoft.com/office/spreadsheetml/2009/9/main" objectType="CheckBox" fmlaLink="$Q$4" lockText="1"/>
</file>

<file path=xl/ctrlProps/ctrlProp9.xml><?xml version="1.0" encoding="utf-8"?>
<formControlPr xmlns="http://schemas.microsoft.com/office/spreadsheetml/2009/9/main" objectType="CheckBox" checked="Checked" fmlaLink="$E$4" lockText="1"/>
</file>

<file path=xl/ctrlProps/ctrlProp10.xml><?xml version="1.0" encoding="utf-8"?>
<formControlPr xmlns="http://schemas.microsoft.com/office/spreadsheetml/2009/9/main" objectType="CheckBox" fmlaLink="$R$4" lockText="1"/>
</file>

<file path=xl/ctrlProps/ctrlProp11.xml><?xml version="1.0" encoding="utf-8"?>
<formControlPr xmlns="http://schemas.microsoft.com/office/spreadsheetml/2009/9/main" objectType="CheckBox" checked="Checked" fmlaLink="$D$4" lockText="1" noThreeD="1"/>
</file>

<file path=xl/ctrlProps/ctrlProp12.xml><?xml version="1.0" encoding="utf-8"?>
<formControlPr xmlns="http://schemas.microsoft.com/office/spreadsheetml/2009/9/main" objectType="CheckBox" checked="Checked" fmlaLink="$E$4" lockText="1"/>
</file>

<file path=xl/ctrlProps/ctrlProp13.xml><?xml version="1.0" encoding="utf-8"?>
<formControlPr xmlns="http://schemas.microsoft.com/office/spreadsheetml/2009/9/main" objectType="CheckBox" checked="Checked" fmlaLink="$D$4" lockText="1"/>
</file>

<file path=xl/ctrlProps/ctrlProp14.xml><?xml version="1.0" encoding="utf-8"?>
<formControlPr xmlns="http://schemas.microsoft.com/office/spreadsheetml/2009/9/main" objectType="CheckBox" fmlaLink="$P$4" lockText="1"/>
</file>

<file path=xl/ctrlProps/ctrlProp15.xml><?xml version="1.0" encoding="utf-8"?>
<formControlPr xmlns="http://schemas.microsoft.com/office/spreadsheetml/2009/9/main" objectType="CheckBox" checked="Checked" fmlaLink="$D$4" lockText="1" noThreeD="1"/>
</file>

<file path=xl/ctrlProps/ctrlProp16.xml><?xml version="1.0" encoding="utf-8"?>
<formControlPr xmlns="http://schemas.microsoft.com/office/spreadsheetml/2009/9/main" objectType="CheckBox" checked="Checked" fmlaLink="$D$4" lockText="1" noThreeD="1"/>
</file>

<file path=xl/ctrlProps/ctrlProp17.xml><?xml version="1.0" encoding="utf-8"?>
<formControlPr xmlns="http://schemas.microsoft.com/office/spreadsheetml/2009/9/main" objectType="CheckBox" checked="Checked" fmlaLink="$D$4" lockText="1" noThreeD="1"/>
</file>

<file path=xl/ctrlProps/ctrlProp18.xml><?xml version="1.0" encoding="utf-8"?>
<formControlPr xmlns="http://schemas.microsoft.com/office/spreadsheetml/2009/9/main" objectType="CheckBox" checked="Checked" fmlaLink="$D$4" lockText="1" noThreeD="1"/>
</file>

<file path=xl/ctrlProps/ctrlProp19.xml><?xml version="1.0" encoding="utf-8"?>
<formControlPr xmlns="http://schemas.microsoft.com/office/spreadsheetml/2009/9/main" objectType="CheckBox" checked="Checked" fmlaLink="$E$4" lockText="1"/>
</file>

<file path=xl/ctrlProps/ctrlProp20.xml><?xml version="1.0" encoding="utf-8"?>
<formControlPr xmlns="http://schemas.microsoft.com/office/spreadsheetml/2009/9/main" objectType="CheckBox" checked="Checked" fmlaLink="$D$4" lockText="1"/>
</file>

<file path=xl/ctrlProps/ctrlProp21.xml><?xml version="1.0" encoding="utf-8"?>
<formControlPr xmlns="http://schemas.microsoft.com/office/spreadsheetml/2009/9/main" objectType="CheckBox" fmlaLink="$L$4" lockText="1"/>
</file>

<file path=xl/ctrlProps/ctrlProp22.xml><?xml version="1.0" encoding="utf-8"?>
<formControlPr xmlns="http://schemas.microsoft.com/office/spreadsheetml/2009/9/main" objectType="CheckBox" checked="Checked" fmlaLink="$E$4" lockText="1"/>
</file>

<file path=xl/ctrlProps/ctrlProp23.xml><?xml version="1.0" encoding="utf-8"?>
<formControlPr xmlns="http://schemas.microsoft.com/office/spreadsheetml/2009/9/main" objectType="CheckBox" checked="Checked" fmlaLink="$D$4" lockText="1"/>
</file>

<file path=xl/ctrlProps/ctrlProp24.xml><?xml version="1.0" encoding="utf-8"?>
<formControlPr xmlns="http://schemas.microsoft.com/office/spreadsheetml/2009/9/main" objectType="CheckBox" fmlaLink="$M$4" lockText="1"/>
</file>

<file path=xl/ctrlProps/ctrlProp25.xml><?xml version="1.0" encoding="utf-8"?>
<formControlPr xmlns="http://schemas.microsoft.com/office/spreadsheetml/2009/9/main" objectType="CheckBox" checked="Checked" fmlaLink="$E$4" lockText="1"/>
</file>

<file path=xl/ctrlProps/ctrlProp26.xml><?xml version="1.0" encoding="utf-8"?>
<formControlPr xmlns="http://schemas.microsoft.com/office/spreadsheetml/2009/9/main" objectType="CheckBox" checked="Checked" fmlaLink="$D$4" lockText="1"/>
</file>

<file path=xl/ctrlProps/ctrlProp27.xml><?xml version="1.0" encoding="utf-8"?>
<formControlPr xmlns="http://schemas.microsoft.com/office/spreadsheetml/2009/9/main" objectType="CheckBox" fmlaLink="$N$4" lockText="1"/>
</file>

<file path=xl/ctrlProps/ctrlProp28.xml><?xml version="1.0" encoding="utf-8"?>
<formControlPr xmlns="http://schemas.microsoft.com/office/spreadsheetml/2009/9/main" objectType="CheckBox" checked="Checked" fmlaLink="$E$4" lockText="1"/>
</file>

<file path=xl/ctrlProps/ctrlProp29.xml><?xml version="1.0" encoding="utf-8"?>
<formControlPr xmlns="http://schemas.microsoft.com/office/spreadsheetml/2009/9/main" objectType="CheckBox" checked="Checked" fmlaLink="$D$4" lockText="1"/>
</file>

<file path=xl/ctrlProps/ctrlProp30.xml><?xml version="1.0" encoding="utf-8"?>
<formControlPr xmlns="http://schemas.microsoft.com/office/spreadsheetml/2009/9/main" objectType="CheckBox" fmlaLink="$O$4" lockText="1"/>
</file>

<file path=xl/ctrlProps/ctrlProp31.xml><?xml version="1.0" encoding="utf-8"?>
<formControlPr xmlns="http://schemas.microsoft.com/office/spreadsheetml/2009/9/main" objectType="CheckBox" checked="Checked" fmlaLink="$D$4" lockText="1" noThreeD="1"/>
</file>

<file path=xl/ctrlProps/ctrlProp32.xml><?xml version="1.0" encoding="utf-8"?>
<formControlPr xmlns="http://schemas.microsoft.com/office/spreadsheetml/2009/9/main" objectType="CheckBox" checked="Checked" fmlaLink="$D$4" lockText="1" noThreeD="1"/>
</file>

<file path=xl/ctrlProps/ctrlProp33.xml><?xml version="1.0" encoding="utf-8"?>
<formControlPr xmlns="http://schemas.microsoft.com/office/spreadsheetml/2009/9/main" objectType="CheckBox" checked="Checked" fmlaLink="$D$4" lockText="1" noThreeD="1"/>
</file>

<file path=xl/ctrlProps/ctrlProp34.xml><?xml version="1.0" encoding="utf-8"?>
<formControlPr xmlns="http://schemas.microsoft.com/office/spreadsheetml/2009/9/main" objectType="CheckBox" checked="Checked" fmlaLink="$E$4" lockText="1"/>
</file>

<file path=xl/ctrlProps/ctrlProp35.xml><?xml version="1.0" encoding="utf-8"?>
<formControlPr xmlns="http://schemas.microsoft.com/office/spreadsheetml/2009/9/main" objectType="CheckBox" checked="Checked" fmlaLink="$D$4" lockText="1"/>
</file>

<file path=xl/ctrlProps/ctrlProp36.xml><?xml version="1.0" encoding="utf-8"?>
<formControlPr xmlns="http://schemas.microsoft.com/office/spreadsheetml/2009/9/main" objectType="CheckBox" fmlaLink="$H$4" lockText="1"/>
</file>

<file path=xl/ctrlProps/ctrlProp37.xml><?xml version="1.0" encoding="utf-8"?>
<formControlPr xmlns="http://schemas.microsoft.com/office/spreadsheetml/2009/9/main" objectType="CheckBox" checked="Checked" fmlaLink="$E$4" lockText="1"/>
</file>

<file path=xl/ctrlProps/ctrlProp38.xml><?xml version="1.0" encoding="utf-8"?>
<formControlPr xmlns="http://schemas.microsoft.com/office/spreadsheetml/2009/9/main" objectType="CheckBox" checked="Checked" fmlaLink="$D$4" lockText="1"/>
</file>

<file path=xl/ctrlProps/ctrlProp39.xml><?xml version="1.0" encoding="utf-8"?>
<formControlPr xmlns="http://schemas.microsoft.com/office/spreadsheetml/2009/9/main" objectType="CheckBox" fmlaLink="$I$4" lockText="1"/>
</file>

<file path=xl/ctrlProps/ctrlProp40.xml><?xml version="1.0" encoding="utf-8"?>
<formControlPr xmlns="http://schemas.microsoft.com/office/spreadsheetml/2009/9/main" objectType="CheckBox" checked="Checked" fmlaLink="$E$4" lockText="1"/>
</file>

<file path=xl/ctrlProps/ctrlProp41.xml><?xml version="1.0" encoding="utf-8"?>
<formControlPr xmlns="http://schemas.microsoft.com/office/spreadsheetml/2009/9/main" objectType="CheckBox" checked="Checked" fmlaLink="$D$4" lockText="1"/>
</file>

<file path=xl/ctrlProps/ctrlProp42.xml><?xml version="1.0" encoding="utf-8"?>
<formControlPr xmlns="http://schemas.microsoft.com/office/spreadsheetml/2009/9/main" objectType="CheckBox" fmlaLink="$K$4" lockText="1"/>
</file>

<file path=xl/ctrlProps/ctrlProp43.xml><?xml version="1.0" encoding="utf-8"?>
<formControlPr xmlns="http://schemas.microsoft.com/office/spreadsheetml/2009/9/main" objectType="CheckBox" checked="Checked" fmlaLink="$D$4" lockText="1"/>
</file>

<file path=xl/ctrlProps/ctrlProp44.xml><?xml version="1.0" encoding="utf-8"?>
<formControlPr xmlns="http://schemas.microsoft.com/office/spreadsheetml/2009/9/main" objectType="CheckBox" checked="Checked" fmlaLink="$D$4" lockText="1" noThreeD="1"/>
</file>

<file path=xl/ctrlProps/ctrlProp45.xml><?xml version="1.0" encoding="utf-8"?>
<formControlPr xmlns="http://schemas.microsoft.com/office/spreadsheetml/2009/9/main" objectType="CheckBox" checked="Checked" fmlaLink="$E$4" lockText="1"/>
</file>

<file path=xl/ctrlProps/ctrlProp46.xml><?xml version="1.0" encoding="utf-8"?>
<formControlPr xmlns="http://schemas.microsoft.com/office/spreadsheetml/2009/9/main" objectType="CheckBox" checked="Checked" fmlaLink="$D$4" lockText="1"/>
</file>

<file path=xl/ctrlProps/ctrlProp47.xml><?xml version="1.0" encoding="utf-8"?>
<formControlPr xmlns="http://schemas.microsoft.com/office/spreadsheetml/2009/9/main" objectType="CheckBox" fmlaLink="$J$4" lockText="1"/>
</file>

<file path=xl/ctrlProps/ctrlProp48.xml><?xml version="1.0" encoding="utf-8"?>
<formControlPr xmlns="http://schemas.microsoft.com/office/spreadsheetml/2009/9/main" objectType="CheckBox" fmlaLink="$K$2" lockText="1" noThreeD="1"/>
</file>

<file path=xl/ctrlProps/ctrlProp49.xml><?xml version="1.0" encoding="utf-8"?>
<formControlPr xmlns="http://schemas.microsoft.com/office/spreadsheetml/2009/9/main" objectType="CheckBox" checked="Checked" fmlaLink="$D$4" lockText="1" noThreeD="1"/>
</file>

<file path=xl/ctrlProps/ctrlProp50.xml><?xml version="1.0" encoding="utf-8"?>
<formControlPr xmlns="http://schemas.microsoft.com/office/spreadsheetml/2009/9/main" objectType="CheckBox" checked="Checked" fmlaLink="$E$4" lockText="1"/>
</file>

<file path=xl/ctrlProps/ctrlProp51.xml><?xml version="1.0" encoding="utf-8"?>
<formControlPr xmlns="http://schemas.microsoft.com/office/spreadsheetml/2009/9/main" objectType="CheckBox" checked="Checked" fmlaLink="$F$4" lockText="1"/>
</file>

<file path=xl/ctrlProps/ctrlProp52.xml><?xml version="1.0" encoding="utf-8"?>
<formControlPr xmlns="http://schemas.microsoft.com/office/spreadsheetml/2009/9/main" objectType="CheckBox" checked="Checked" fmlaLink="$E$4" lockText="1"/>
</file>

<file path=xl/ctrlProps/ctrlProp53.xml><?xml version="1.0" encoding="utf-8"?>
<formControlPr xmlns="http://schemas.microsoft.com/office/spreadsheetml/2009/9/main" objectType="CheckBox" checked="Checked" fmlaLink="$D$4" lockText="1"/>
</file>

<file path=xl/ctrlProps/ctrlProp54.xml><?xml version="1.0" encoding="utf-8"?>
<formControlPr xmlns="http://schemas.microsoft.com/office/spreadsheetml/2009/9/main" objectType="CheckBox" checked="Checked" fmlaLink="$G$4" lockText="1"/>
</file>

<file path=xl/ctrlProps/ctrlProp55.xml><?xml version="1.0" encoding="utf-8"?>
<formControlPr xmlns="http://schemas.microsoft.com/office/spreadsheetml/2009/9/main" objectType="CheckBox" checked="Checked" fmlaLink="$E$4" lockText="1"/>
</file>

<file path=xl/ctrlProps/ctrlProp56.xml><?xml version="1.0" encoding="utf-8"?>
<formControlPr xmlns="http://schemas.microsoft.com/office/spreadsheetml/2009/9/main" objectType="CheckBox" checked="Checked" fmlaLink="$E$4" lockText="1"/>
</file>

<file path=xl/ctrlProps/ctrlProp57.xml><?xml version="1.0" encoding="utf-8"?>
<formControlPr xmlns="http://schemas.microsoft.com/office/spreadsheetml/2009/9/main" objectType="CheckBox" checked="Checked" fmlaLink="$E$4" lockText="1"/>
</file>

<file path=xl/ctrlProps/ctrlProp58.xml><?xml version="1.0" encoding="utf-8"?>
<formControlPr xmlns="http://schemas.microsoft.com/office/spreadsheetml/2009/9/main" objectType="CheckBox" fmlaLink="$K$2" lockText="1" noThreeD="1"/>
</file>

<file path=xl/ctrlProps/ctrlProp59.xml><?xml version="1.0" encoding="utf-8"?>
<formControlPr xmlns="http://schemas.microsoft.com/office/spreadsheetml/2009/9/main" objectType="CheckBox" checked="Checked" fmlaLink="$D$4" lockText="1" noThreeD="1"/>
</file>

<file path=xl/ctrlProps/ctrlProp60.xml><?xml version="1.0" encoding="utf-8"?>
<formControlPr xmlns="http://schemas.microsoft.com/office/spreadsheetml/2009/9/main" objectType="CheckBox" checked="Checked" fmlaLink="$D$4" lockText="1" noThreeD="1"/>
</file>

<file path=xl/ctrlProps/ctrlProp61.xml><?xml version="1.0" encoding="utf-8"?>
<formControlPr xmlns="http://schemas.microsoft.com/office/spreadsheetml/2009/9/main" objectType="CheckBox" checked="Checked" fmlaLink="$D$4" lockText="1" noThreeD="1"/>
</file>

<file path=xl/ctrlProps/ctrlProp62.xml><?xml version="1.0" encoding="utf-8"?>
<formControlPr xmlns="http://schemas.microsoft.com/office/spreadsheetml/2009/9/main" objectType="CheckBox" checked="Checked" fmlaLink="$D$4" lockText="1" noThreeD="1"/>
</file>

<file path=xl/ctrlProps/ctrlProp63.xml><?xml version="1.0" encoding="utf-8"?>
<formControlPr xmlns="http://schemas.microsoft.com/office/spreadsheetml/2009/9/main" objectType="CheckBox" checked="Checked" fmlaLink="$D$4" lockText="1" noThreeD="1"/>
</file>

<file path=xl/ctrlProps/ctrlProp64.xml><?xml version="1.0" encoding="utf-8"?>
<formControlPr xmlns="http://schemas.microsoft.com/office/spreadsheetml/2009/9/main" objectType="CheckBox" checked="Checked" fmlaLink="$D$4" lockText="1" noThreeD="1"/>
</file>

<file path=xl/ctrlProps/ctrlProp65.xml><?xml version="1.0" encoding="utf-8"?>
<formControlPr xmlns="http://schemas.microsoft.com/office/spreadsheetml/2009/9/main" objectType="CheckBox" checked="Checked" fmlaLink="$D$4" lockText="1" noThreeD="1"/>
</file>

<file path=xl/ctrlProps/ctrlProp66.xml><?xml version="1.0" encoding="utf-8"?>
<formControlPr xmlns="http://schemas.microsoft.com/office/spreadsheetml/2009/9/main" objectType="CheckBox" checked="Checked" fmlaLink="$D$4" lockText="1" noThreeD="1"/>
</file>

<file path=xl/ctrlProps/ctrlProp67.xml><?xml version="1.0" encoding="utf-8"?>
<formControlPr xmlns="http://schemas.microsoft.com/office/spreadsheetml/2009/9/main" objectType="CheckBox" checked="Checked" fmlaLink="$D$4" lockText="1" noThreeD="1"/>
</file>

<file path=xl/ctrlProps/ctrlProp68.xml><?xml version="1.0" encoding="utf-8"?>
<formControlPr xmlns="http://schemas.microsoft.com/office/spreadsheetml/2009/9/main" objectType="CheckBox" checked="Checked" fmlaLink="$D$4" lockText="1" noThreeD="1"/>
</file>

<file path=xl/ctrlProps/ctrlProp69.xml><?xml version="1.0" encoding="utf-8"?>
<formControlPr xmlns="http://schemas.microsoft.com/office/spreadsheetml/2009/9/main" objectType="CheckBox" checked="Checked" fmlaLink="$E$4" lockText="1"/>
</file>

<file path=xl/ctrlProps/ctrlProp70.xml><?xml version="1.0" encoding="utf-8"?>
<formControlPr xmlns="http://schemas.microsoft.com/office/spreadsheetml/2009/9/main" objectType="CheckBox" checked="Checked" fmlaLink="$E$4" lockText="1"/>
</file>

<file path=xl/ctrlProps/ctrlProp71.xml><?xml version="1.0" encoding="utf-8"?>
<formControlPr xmlns="http://schemas.microsoft.com/office/spreadsheetml/2009/9/main" objectType="CheckBox" checked="Checked" fmlaLink="$F$4" lockText="1"/>
</file>

<file path=xl/ctrlProps/ctrlProp72.xml><?xml version="1.0" encoding="utf-8"?>
<formControlPr xmlns="http://schemas.microsoft.com/office/spreadsheetml/2009/9/main" objectType="CheckBox" checked="Checked" fmlaLink="$E$4" lockText="1"/>
</file>

<file path=xl/ctrlProps/ctrlProp73.xml><?xml version="1.0" encoding="utf-8"?>
<formControlPr xmlns="http://schemas.microsoft.com/office/spreadsheetml/2009/9/main" objectType="CheckBox" checked="Checked" fmlaLink="$D$4" lockText="1"/>
</file>

<file path=xl/ctrlProps/ctrlProp74.xml><?xml version="1.0" encoding="utf-8"?>
<formControlPr xmlns="http://schemas.microsoft.com/office/spreadsheetml/2009/9/main" objectType="CheckBox" checked="Checked" fmlaLink="$G$4" lockText="1"/>
</file>

<file path=xl/ctrlProps/ctrlProp75.xml><?xml version="1.0" encoding="utf-8"?>
<formControlPr xmlns="http://schemas.microsoft.com/office/spreadsheetml/2009/9/main" objectType="CheckBox" checked="Checked" fmlaLink="$E$4" lockText="1"/>
</file>

<file path=xl/ctrlProps/ctrlProp76.xml><?xml version="1.0" encoding="utf-8"?>
<formControlPr xmlns="http://schemas.microsoft.com/office/spreadsheetml/2009/9/main" objectType="CheckBox" checked="Checked" fmlaLink="$D$4" lockText="1"/>
</file>

<file path=xl/ctrlProps/ctrlProp77.xml><?xml version="1.0" encoding="utf-8"?>
<formControlPr xmlns="http://schemas.microsoft.com/office/spreadsheetml/2009/9/main" objectType="CheckBox" fmlaLink="$H$4" lockText="1"/>
</file>

<file path=xl/ctrlProps/ctrlProp78.xml><?xml version="1.0" encoding="utf-8"?>
<formControlPr xmlns="http://schemas.microsoft.com/office/spreadsheetml/2009/9/main" objectType="CheckBox" checked="Checked" fmlaLink="$E$4" lockText="1"/>
</file>

<file path=xl/ctrlProps/ctrlProp79.xml><?xml version="1.0" encoding="utf-8"?>
<formControlPr xmlns="http://schemas.microsoft.com/office/spreadsheetml/2009/9/main" objectType="CheckBox" checked="Checked" fmlaLink="$D$4" lockText="1"/>
</file>

<file path=xl/ctrlProps/ctrlProp80.xml><?xml version="1.0" encoding="utf-8"?>
<formControlPr xmlns="http://schemas.microsoft.com/office/spreadsheetml/2009/9/main" objectType="CheckBox" fmlaLink="$I$4" lockText="1"/>
</file>

<file path=xl/ctrlProps/ctrlProp81.xml><?xml version="1.0" encoding="utf-8"?>
<formControlPr xmlns="http://schemas.microsoft.com/office/spreadsheetml/2009/9/main" objectType="CheckBox" checked="Checked" fmlaLink="$E$4" lockText="1"/>
</file>

<file path=xl/ctrlProps/ctrlProp82.xml><?xml version="1.0" encoding="utf-8"?>
<formControlPr xmlns="http://schemas.microsoft.com/office/spreadsheetml/2009/9/main" objectType="CheckBox" checked="Checked" fmlaLink="$D$4" lockText="1"/>
</file>

<file path=xl/ctrlProps/ctrlProp83.xml><?xml version="1.0" encoding="utf-8"?>
<formControlPr xmlns="http://schemas.microsoft.com/office/spreadsheetml/2009/9/main" objectType="CheckBox" fmlaLink="$K$4" lockText="1"/>
</file>

<file path=xl/ctrlProps/ctrlProp84.xml><?xml version="1.0" encoding="utf-8"?>
<formControlPr xmlns="http://schemas.microsoft.com/office/spreadsheetml/2009/9/main" objectType="CheckBox" checked="Checked" fmlaLink="$E$4" lockText="1"/>
</file>

<file path=xl/ctrlProps/ctrlProp85.xml><?xml version="1.0" encoding="utf-8"?>
<formControlPr xmlns="http://schemas.microsoft.com/office/spreadsheetml/2009/9/main" objectType="CheckBox" checked="Checked" fmlaLink="$D$4" lockText="1"/>
</file>

<file path=xl/ctrlProps/ctrlProp86.xml><?xml version="1.0" encoding="utf-8"?>
<formControlPr xmlns="http://schemas.microsoft.com/office/spreadsheetml/2009/9/main" objectType="CheckBox" fmlaLink="$L$4" lockText="1"/>
</file>

<file path=xl/ctrlProps/ctrlProp87.xml><?xml version="1.0" encoding="utf-8"?>
<formControlPr xmlns="http://schemas.microsoft.com/office/spreadsheetml/2009/9/main" objectType="CheckBox" checked="Checked" fmlaLink="$E$4" lockText="1"/>
</file>

<file path=xl/ctrlProps/ctrlProp88.xml><?xml version="1.0" encoding="utf-8"?>
<formControlPr xmlns="http://schemas.microsoft.com/office/spreadsheetml/2009/9/main" objectType="CheckBox" checked="Checked" fmlaLink="$D$4" lockText="1"/>
</file>

<file path=xl/ctrlProps/ctrlProp89.xml><?xml version="1.0" encoding="utf-8"?>
<formControlPr xmlns="http://schemas.microsoft.com/office/spreadsheetml/2009/9/main" objectType="CheckBox" fmlaLink="$M$4" lockText="1"/>
</file>

<file path=xl/ctrlProps/ctrlProp90.xml><?xml version="1.0" encoding="utf-8"?>
<formControlPr xmlns="http://schemas.microsoft.com/office/spreadsheetml/2009/9/main" objectType="CheckBox" checked="Checked" fmlaLink="$E$4" lockText="1"/>
</file>

<file path=xl/ctrlProps/ctrlProp91.xml><?xml version="1.0" encoding="utf-8"?>
<formControlPr xmlns="http://schemas.microsoft.com/office/spreadsheetml/2009/9/main" objectType="CheckBox" checked="Checked" fmlaLink="$D$4" lockText="1"/>
</file>

<file path=xl/ctrlProps/ctrlProp92.xml><?xml version="1.0" encoding="utf-8"?>
<formControlPr xmlns="http://schemas.microsoft.com/office/spreadsheetml/2009/9/main" objectType="CheckBox" fmlaLink="$N$4" lockText="1"/>
</file>

<file path=xl/ctrlProps/ctrlProp93.xml><?xml version="1.0" encoding="utf-8"?>
<formControlPr xmlns="http://schemas.microsoft.com/office/spreadsheetml/2009/9/main" objectType="CheckBox" checked="Checked" fmlaLink="$E$4" lockText="1"/>
</file>

<file path=xl/ctrlProps/ctrlProp94.xml><?xml version="1.0" encoding="utf-8"?>
<formControlPr xmlns="http://schemas.microsoft.com/office/spreadsheetml/2009/9/main" objectType="CheckBox" checked="Checked" fmlaLink="$D$4" lockText="1"/>
</file>

<file path=xl/ctrlProps/ctrlProp95.xml><?xml version="1.0" encoding="utf-8"?>
<formControlPr xmlns="http://schemas.microsoft.com/office/spreadsheetml/2009/9/main" objectType="CheckBox" fmlaLink="$O$4" lockText="1"/>
</file>

<file path=xl/ctrlProps/ctrlProp96.xml><?xml version="1.0" encoding="utf-8"?>
<formControlPr xmlns="http://schemas.microsoft.com/office/spreadsheetml/2009/9/main" objectType="CheckBox" checked="Checked" fmlaLink="$E$4" lockText="1"/>
</file>

<file path=xl/ctrlProps/ctrlProp97.xml><?xml version="1.0" encoding="utf-8"?>
<formControlPr xmlns="http://schemas.microsoft.com/office/spreadsheetml/2009/9/main" objectType="CheckBox" checked="Checked" fmlaLink="$D$4" lockText="1"/>
</file>

<file path=xl/ctrlProps/ctrlProp98.xml><?xml version="1.0" encoding="utf-8"?>
<formControlPr xmlns="http://schemas.microsoft.com/office/spreadsheetml/2009/9/main" objectType="CheckBox" fmlaLink="$P$4" lockText="1"/>
</file>

<file path=xl/ctrlProps/ctrlProp99.xml><?xml version="1.0" encoding="utf-8"?>
<formControlPr xmlns="http://schemas.microsoft.com/office/spreadsheetml/2009/9/main" objectType="CheckBox" checked="Checked" fmlaLink="$E$4" lockText="1"/>
</file>

<file path=xl/ctrlProps/ctrlProp100.xml><?xml version="1.0" encoding="utf-8"?>
<formControlPr xmlns="http://schemas.microsoft.com/office/spreadsheetml/2009/9/main" objectType="CheckBox" fmlaLink="$Q$4" lockText="1"/>
</file>

<file path=xl/ctrlProps/ctrlProp101.xml><?xml version="1.0" encoding="utf-8"?>
<formControlPr xmlns="http://schemas.microsoft.com/office/spreadsheetml/2009/9/main" objectType="CheckBox" checked="Checked" fmlaLink="$D$4" lockText="1"/>
</file>

<file path=xl/ctrlProps/ctrlProp102.xml><?xml version="1.0" encoding="utf-8"?>
<formControlPr xmlns="http://schemas.microsoft.com/office/spreadsheetml/2009/9/main" objectType="CheckBox" checked="Checked" fmlaLink="$D$4" lockText="1" noThreeD="1"/>
</file>

<file path=xl/ctrlProps/ctrlProp103.xml><?xml version="1.0" encoding="utf-8"?>
<formControlPr xmlns="http://schemas.microsoft.com/office/spreadsheetml/2009/9/main" objectType="CheckBox" checked="Checked" fmlaLink="$D$4" lockText="1" noThreeD="1"/>
</file>

<file path=xl/ctrlProps/ctrlProp104.xml><?xml version="1.0" encoding="utf-8"?>
<formControlPr xmlns="http://schemas.microsoft.com/office/spreadsheetml/2009/9/main" objectType="CheckBox" checked="Checked" fmlaLink="$E$4" lockText="1"/>
</file>

<file path=xl/ctrlProps/ctrlProp105.xml><?xml version="1.0" encoding="utf-8"?>
<formControlPr xmlns="http://schemas.microsoft.com/office/spreadsheetml/2009/9/main" objectType="CheckBox" checked="Checked" fmlaLink="$D$4" lockText="1"/>
</file>

<file path=xl/ctrlProps/ctrlProp106.xml><?xml version="1.0" encoding="utf-8"?>
<formControlPr xmlns="http://schemas.microsoft.com/office/spreadsheetml/2009/9/main" objectType="CheckBox" fmlaLink="$Q$4" lockText="1"/>
</file>

<file path=xl/ctrlProps/ctrlProp107.xml><?xml version="1.0" encoding="utf-8"?>
<formControlPr xmlns="http://schemas.microsoft.com/office/spreadsheetml/2009/9/main" objectType="CheckBox" checked="Checked" fmlaLink="$E$4" lockText="1"/>
</file>

<file path=xl/ctrlProps/ctrlProp108.xml><?xml version="1.0" encoding="utf-8"?>
<formControlPr xmlns="http://schemas.microsoft.com/office/spreadsheetml/2009/9/main" objectType="CheckBox" fmlaLink="$R$4" lockText="1"/>
</file>

<file path=xl/ctrlProps/ctrlProp109.xml><?xml version="1.0" encoding="utf-8"?>
<formControlPr xmlns="http://schemas.microsoft.com/office/spreadsheetml/2009/9/main" objectType="CheckBox" checked="Checked" fmlaLink="$D$4" lockText="1" noThreeD="1"/>
</file>

<file path=xl/ctrlProps/ctrlProp110.xml><?xml version="1.0" encoding="utf-8"?>
<formControlPr xmlns="http://schemas.microsoft.com/office/spreadsheetml/2009/9/main" objectType="CheckBox" checked="Checked" fmlaLink="$E$4" lockText="1"/>
</file>

<file path=xl/ctrlProps/ctrlProp111.xml><?xml version="1.0" encoding="utf-8"?>
<formControlPr xmlns="http://schemas.microsoft.com/office/spreadsheetml/2009/9/main" objectType="CheckBox" checked="Checked" fmlaLink="$D$4" lockText="1"/>
</file>

<file path=xl/ctrlProps/ctrlProp112.xml><?xml version="1.0" encoding="utf-8"?>
<formControlPr xmlns="http://schemas.microsoft.com/office/spreadsheetml/2009/9/main" objectType="CheckBox" fmlaLink="$J$4" lockText="1"/>
</file>

<file path=xl/ctrlProps/ctrlProp113.xml><?xml version="1.0" encoding="utf-8"?>
<formControlPr xmlns="http://schemas.microsoft.com/office/spreadsheetml/2009/9/main" objectType="CheckBox" checked="Checked" fmlaLink="$E$4" lockText="1"/>
</file>

<file path=xl/ctrlProps/ctrlProp114.xml><?xml version="1.0" encoding="utf-8"?>
<formControlPr xmlns="http://schemas.microsoft.com/office/spreadsheetml/2009/9/main" objectType="CheckBox" fmlaLink="$K$2" lockText="1" noThreeD="1"/>
</file>

<file path=xl/ctrlProps/ctrlProp115.xml><?xml version="1.0" encoding="utf-8"?>
<formControlPr xmlns="http://schemas.microsoft.com/office/spreadsheetml/2009/9/main" objectType="CheckBox" checked="Checked" fmlaLink="$D$4" lockText="1" noThreeD="1"/>
</file>

<file path=xl/ctrlProps/ctrlProp116.xml><?xml version="1.0" encoding="utf-8"?>
<formControlPr xmlns="http://schemas.microsoft.com/office/spreadsheetml/2009/9/main" objectType="CheckBox" checked="Checked" fmlaLink="$D$4" lockText="1" noThreeD="1"/>
</file>

<file path=xl/ctrlProps/ctrlProp117.xml><?xml version="1.0" encoding="utf-8"?>
<formControlPr xmlns="http://schemas.microsoft.com/office/spreadsheetml/2009/9/main" objectType="CheckBox" checked="Checked" fmlaLink="$D$4" lockText="1" noThreeD="1"/>
</file>

<file path=xl/ctrlProps/ctrlProp118.xml><?xml version="1.0" encoding="utf-8"?>
<formControlPr xmlns="http://schemas.microsoft.com/office/spreadsheetml/2009/9/main" objectType="CheckBox" checked="Checked" fmlaLink="$D$4" lockText="1" noThreeD="1"/>
</file>

<file path=xl/ctrlProps/ctrlProp119.xml><?xml version="1.0" encoding="utf-8"?>
<formControlPr xmlns="http://schemas.microsoft.com/office/spreadsheetml/2009/9/main" objectType="CheckBox" checked="Checked" fmlaLink="$D$4" lockText="1" noThreeD="1"/>
</file>

<file path=xl/ctrlProps/ctrlProp120.xml><?xml version="1.0" encoding="utf-8"?>
<formControlPr xmlns="http://schemas.microsoft.com/office/spreadsheetml/2009/9/main" objectType="CheckBox" checked="Checked" fmlaLink="$D$4" lockText="1" noThreeD="1"/>
</file>

<file path=xl/ctrlProps/ctrlProp121.xml><?xml version="1.0" encoding="utf-8"?>
<formControlPr xmlns="http://schemas.microsoft.com/office/spreadsheetml/2009/9/main" objectType="CheckBox" checked="Checked" fmlaLink="$D$4" lockText="1" noThreeD="1"/>
</file>

<file path=xl/ctrlProps/ctrlProp122.xml><?xml version="1.0" encoding="utf-8"?>
<formControlPr xmlns="http://schemas.microsoft.com/office/spreadsheetml/2009/9/main" objectType="CheckBox" checked="Checked" fmlaLink="$D$4" lockText="1" noThreeD="1"/>
</file>

<file path=xl/ctrlProps/ctrlProp123.xml><?xml version="1.0" encoding="utf-8"?>
<formControlPr xmlns="http://schemas.microsoft.com/office/spreadsheetml/2009/9/main" objectType="CheckBox" checked="Checked" fmlaLink="$D$4" lockText="1" noThreeD="1"/>
</file>

<file path=xl/ctrlProps/ctrlProp124.xml><?xml version="1.0" encoding="utf-8"?>
<formControlPr xmlns="http://schemas.microsoft.com/office/spreadsheetml/2009/9/main" objectType="CheckBox" checked="Checked" fmlaLink="$D$4" lockText="1" noThreeD="1"/>
</file>

<file path=xl/ctrlProps/ctrlProp125.xml><?xml version="1.0" encoding="utf-8"?>
<formControlPr xmlns="http://schemas.microsoft.com/office/spreadsheetml/2009/9/main" objectType="CheckBox" checked="Checked" fmlaLink="$E$4" lockText="1"/>
</file>

<file path=xl/ctrlProps/ctrlProp126.xml><?xml version="1.0" encoding="utf-8"?>
<formControlPr xmlns="http://schemas.microsoft.com/office/spreadsheetml/2009/9/main" objectType="CheckBox" checked="Checked" fmlaLink="$E$4" lockText="1"/>
</file>

<file path=xl/ctrlProps/ctrlProp127.xml><?xml version="1.0" encoding="utf-8"?>
<formControlPr xmlns="http://schemas.microsoft.com/office/spreadsheetml/2009/9/main" objectType="CheckBox" checked="Checked" fmlaLink="$F$4" lockText="1"/>
</file>

<file path=xl/ctrlProps/ctrlProp128.xml><?xml version="1.0" encoding="utf-8"?>
<formControlPr xmlns="http://schemas.microsoft.com/office/spreadsheetml/2009/9/main" objectType="CheckBox" checked="Checked" fmlaLink="$E$4" lockText="1"/>
</file>

<file path=xl/ctrlProps/ctrlProp129.xml><?xml version="1.0" encoding="utf-8"?>
<formControlPr xmlns="http://schemas.microsoft.com/office/spreadsheetml/2009/9/main" objectType="CheckBox" checked="Checked" fmlaLink="$D$4" lockText="1"/>
</file>

<file path=xl/ctrlProps/ctrlProp130.xml><?xml version="1.0" encoding="utf-8"?>
<formControlPr xmlns="http://schemas.microsoft.com/office/spreadsheetml/2009/9/main" objectType="CheckBox" checked="Checked" fmlaLink="$G$4" lockText="1"/>
</file>

<file path=xl/ctrlProps/ctrlProp131.xml><?xml version="1.0" encoding="utf-8"?>
<formControlPr xmlns="http://schemas.microsoft.com/office/spreadsheetml/2009/9/main" objectType="CheckBox" checked="Checked" fmlaLink="$E$4" lockText="1"/>
</file>

<file path=xl/ctrlProps/ctrlProp132.xml><?xml version="1.0" encoding="utf-8"?>
<formControlPr xmlns="http://schemas.microsoft.com/office/spreadsheetml/2009/9/main" objectType="CheckBox" checked="Checked" fmlaLink="$D$4" lockText="1"/>
</file>

<file path=xl/ctrlProps/ctrlProp133.xml><?xml version="1.0" encoding="utf-8"?>
<formControlPr xmlns="http://schemas.microsoft.com/office/spreadsheetml/2009/9/main" objectType="CheckBox" fmlaLink="$H$4" lockText="1"/>
</file>

<file path=xl/ctrlProps/ctrlProp134.xml><?xml version="1.0" encoding="utf-8"?>
<formControlPr xmlns="http://schemas.microsoft.com/office/spreadsheetml/2009/9/main" objectType="CheckBox" checked="Checked" fmlaLink="$E$4" lockText="1"/>
</file>

<file path=xl/ctrlProps/ctrlProp135.xml><?xml version="1.0" encoding="utf-8"?>
<formControlPr xmlns="http://schemas.microsoft.com/office/spreadsheetml/2009/9/main" objectType="CheckBox" checked="Checked" fmlaLink="$D$4" lockText="1"/>
</file>

<file path=xl/ctrlProps/ctrlProp136.xml><?xml version="1.0" encoding="utf-8"?>
<formControlPr xmlns="http://schemas.microsoft.com/office/spreadsheetml/2009/9/main" objectType="CheckBox" fmlaLink="$I$4" lockText="1"/>
</file>

<file path=xl/ctrlProps/ctrlProp137.xml><?xml version="1.0" encoding="utf-8"?>
<formControlPr xmlns="http://schemas.microsoft.com/office/spreadsheetml/2009/9/main" objectType="CheckBox" checked="Checked" fmlaLink="$E$4" lockText="1"/>
</file>

<file path=xl/ctrlProps/ctrlProp138.xml><?xml version="1.0" encoding="utf-8"?>
<formControlPr xmlns="http://schemas.microsoft.com/office/spreadsheetml/2009/9/main" objectType="CheckBox" checked="Checked" fmlaLink="$D$4" lockText="1"/>
</file>

<file path=xl/ctrlProps/ctrlProp139.xml><?xml version="1.0" encoding="utf-8"?>
<formControlPr xmlns="http://schemas.microsoft.com/office/spreadsheetml/2009/9/main" objectType="CheckBox" fmlaLink="$K$4" lockText="1"/>
</file>

<file path=xl/ctrlProps/ctrlProp140.xml><?xml version="1.0" encoding="utf-8"?>
<formControlPr xmlns="http://schemas.microsoft.com/office/spreadsheetml/2009/9/main" objectType="CheckBox" checked="Checked" fmlaLink="$E$4" lockText="1"/>
</file>

<file path=xl/ctrlProps/ctrlProp141.xml><?xml version="1.0" encoding="utf-8"?>
<formControlPr xmlns="http://schemas.microsoft.com/office/spreadsheetml/2009/9/main" objectType="CheckBox" checked="Checked" fmlaLink="$D$4" lockText="1"/>
</file>

<file path=xl/ctrlProps/ctrlProp142.xml><?xml version="1.0" encoding="utf-8"?>
<formControlPr xmlns="http://schemas.microsoft.com/office/spreadsheetml/2009/9/main" objectType="CheckBox" fmlaLink="$L$4" lockText="1"/>
</file>

<file path=xl/ctrlProps/ctrlProp143.xml><?xml version="1.0" encoding="utf-8"?>
<formControlPr xmlns="http://schemas.microsoft.com/office/spreadsheetml/2009/9/main" objectType="CheckBox" checked="Checked" fmlaLink="$E$4" lockText="1"/>
</file>

<file path=xl/ctrlProps/ctrlProp144.xml><?xml version="1.0" encoding="utf-8"?>
<formControlPr xmlns="http://schemas.microsoft.com/office/spreadsheetml/2009/9/main" objectType="CheckBox" checked="Checked" fmlaLink="$D$4" lockText="1"/>
</file>

<file path=xl/ctrlProps/ctrlProp145.xml><?xml version="1.0" encoding="utf-8"?>
<formControlPr xmlns="http://schemas.microsoft.com/office/spreadsheetml/2009/9/main" objectType="CheckBox" fmlaLink="$M$4" lockText="1"/>
</file>

<file path=xl/ctrlProps/ctrlProp146.xml><?xml version="1.0" encoding="utf-8"?>
<formControlPr xmlns="http://schemas.microsoft.com/office/spreadsheetml/2009/9/main" objectType="CheckBox" checked="Checked" fmlaLink="$E$4" lockText="1"/>
</file>

<file path=xl/ctrlProps/ctrlProp147.xml><?xml version="1.0" encoding="utf-8"?>
<formControlPr xmlns="http://schemas.microsoft.com/office/spreadsheetml/2009/9/main" objectType="CheckBox" checked="Checked" fmlaLink="$D$4" lockText="1"/>
</file>

<file path=xl/ctrlProps/ctrlProp148.xml><?xml version="1.0" encoding="utf-8"?>
<formControlPr xmlns="http://schemas.microsoft.com/office/spreadsheetml/2009/9/main" objectType="CheckBox" fmlaLink="$N$4" lockText="1"/>
</file>

<file path=xl/ctrlProps/ctrlProp149.xml><?xml version="1.0" encoding="utf-8"?>
<formControlPr xmlns="http://schemas.microsoft.com/office/spreadsheetml/2009/9/main" objectType="CheckBox" checked="Checked" fmlaLink="$E$4" lockText="1"/>
</file>

<file path=xl/ctrlProps/ctrlProp150.xml><?xml version="1.0" encoding="utf-8"?>
<formControlPr xmlns="http://schemas.microsoft.com/office/spreadsheetml/2009/9/main" objectType="CheckBox" checked="Checked" fmlaLink="$D$4" lockText="1"/>
</file>

<file path=xl/ctrlProps/ctrlProp151.xml><?xml version="1.0" encoding="utf-8"?>
<formControlPr xmlns="http://schemas.microsoft.com/office/spreadsheetml/2009/9/main" objectType="CheckBox" fmlaLink="$O$4" lockText="1"/>
</file>

<file path=xl/ctrlProps/ctrlProp152.xml><?xml version="1.0" encoding="utf-8"?>
<formControlPr xmlns="http://schemas.microsoft.com/office/spreadsheetml/2009/9/main" objectType="CheckBox" checked="Checked" fmlaLink="$E$4" lockText="1"/>
</file>

<file path=xl/ctrlProps/ctrlProp153.xml><?xml version="1.0" encoding="utf-8"?>
<formControlPr xmlns="http://schemas.microsoft.com/office/spreadsheetml/2009/9/main" objectType="CheckBox" checked="Checked" fmlaLink="$D$4" lockText="1"/>
</file>

<file path=xl/ctrlProps/ctrlProp154.xml><?xml version="1.0" encoding="utf-8"?>
<formControlPr xmlns="http://schemas.microsoft.com/office/spreadsheetml/2009/9/main" objectType="CheckBox" fmlaLink="$P$4" lockText="1"/>
</file>

<file path=xl/ctrlProps/ctrlProp155.xml><?xml version="1.0" encoding="utf-8"?>
<formControlPr xmlns="http://schemas.microsoft.com/office/spreadsheetml/2009/9/main" objectType="CheckBox" checked="Checked" fmlaLink="$E$4" lockText="1"/>
</file>

<file path=xl/ctrlProps/ctrlProp156.xml><?xml version="1.0" encoding="utf-8"?>
<formControlPr xmlns="http://schemas.microsoft.com/office/spreadsheetml/2009/9/main" objectType="CheckBox" fmlaLink="$Q$4" lockText="1"/>
</file>

<file path=xl/ctrlProps/ctrlProp157.xml><?xml version="1.0" encoding="utf-8"?>
<formControlPr xmlns="http://schemas.microsoft.com/office/spreadsheetml/2009/9/main" objectType="CheckBox" checked="Checked" fmlaLink="$D$4" lockText="1"/>
</file>

<file path=xl/ctrlProps/ctrlProp158.xml><?xml version="1.0" encoding="utf-8"?>
<formControlPr xmlns="http://schemas.microsoft.com/office/spreadsheetml/2009/9/main" objectType="CheckBox" checked="Checked" fmlaLink="$D$4" lockText="1" noThreeD="1"/>
</file>

<file path=xl/ctrlProps/ctrlProp159.xml><?xml version="1.0" encoding="utf-8"?>
<formControlPr xmlns="http://schemas.microsoft.com/office/spreadsheetml/2009/9/main" objectType="CheckBox" checked="Checked" fmlaLink="$D$4" lockText="1" noThreeD="1"/>
</file>

<file path=xl/ctrlProps/ctrlProp160.xml><?xml version="1.0" encoding="utf-8"?>
<formControlPr xmlns="http://schemas.microsoft.com/office/spreadsheetml/2009/9/main" objectType="CheckBox" checked="Checked" fmlaLink="$E$4" lockText="1"/>
</file>

<file path=xl/ctrlProps/ctrlProp161.xml><?xml version="1.0" encoding="utf-8"?>
<formControlPr xmlns="http://schemas.microsoft.com/office/spreadsheetml/2009/9/main" objectType="CheckBox" checked="Checked" fmlaLink="$D$4" lockText="1"/>
</file>

<file path=xl/ctrlProps/ctrlProp162.xml><?xml version="1.0" encoding="utf-8"?>
<formControlPr xmlns="http://schemas.microsoft.com/office/spreadsheetml/2009/9/main" objectType="CheckBox" fmlaLink="$Q$4" lockText="1"/>
</file>

<file path=xl/ctrlProps/ctrlProp163.xml><?xml version="1.0" encoding="utf-8"?>
<formControlPr xmlns="http://schemas.microsoft.com/office/spreadsheetml/2009/9/main" objectType="CheckBox" checked="Checked" fmlaLink="$E$4" lockText="1"/>
</file>

<file path=xl/ctrlProps/ctrlProp164.xml><?xml version="1.0" encoding="utf-8"?>
<formControlPr xmlns="http://schemas.microsoft.com/office/spreadsheetml/2009/9/main" objectType="CheckBox" fmlaLink="$R$4" lockText="1"/>
</file>

<file path=xl/ctrlProps/ctrlProp165.xml><?xml version="1.0" encoding="utf-8"?>
<formControlPr xmlns="http://schemas.microsoft.com/office/spreadsheetml/2009/9/main" objectType="CheckBox" checked="Checked" fmlaLink="$D$4" lockText="1" noThreeD="1"/>
</file>

<file path=xl/ctrlProps/ctrlProp166.xml><?xml version="1.0" encoding="utf-8"?>
<formControlPr xmlns="http://schemas.microsoft.com/office/spreadsheetml/2009/9/main" objectType="CheckBox" checked="Checked" fmlaLink="$E$4" lockText="1"/>
</file>

<file path=xl/ctrlProps/ctrlProp167.xml><?xml version="1.0" encoding="utf-8"?>
<formControlPr xmlns="http://schemas.microsoft.com/office/spreadsheetml/2009/9/main" objectType="CheckBox" checked="Checked" fmlaLink="$D$4" lockText="1"/>
</file>

<file path=xl/ctrlProps/ctrlProp168.xml><?xml version="1.0" encoding="utf-8"?>
<formControlPr xmlns="http://schemas.microsoft.com/office/spreadsheetml/2009/9/main" objectType="CheckBox" fmlaLink="$J$4" lockText="1"/>
</file>

<file path=xl/ctrlProps/ctrlProp169.xml><?xml version="1.0" encoding="utf-8"?>
<formControlPr xmlns="http://schemas.microsoft.com/office/spreadsheetml/2009/9/main" objectType="CheckBox" checked="Checked" fmlaLink="$E$4" lockText="1"/>
</file>

<file path=xl/ctrlProps/ctrlProp170.xml><?xml version="1.0" encoding="utf-8"?>
<formControlPr xmlns="http://schemas.microsoft.com/office/spreadsheetml/2009/9/main" objectType="CheckBox" fmlaLink="$K$2" lockText="1" noThreeD="1"/>
</file>

<file path=xl/ctrlProps/ctrlProp171.xml><?xml version="1.0" encoding="utf-8"?>
<formControlPr xmlns="http://schemas.microsoft.com/office/spreadsheetml/2009/9/main" objectType="CheckBox" checked="Checked" fmlaLink="$D$4" lockText="1" noThreeD="1"/>
</file>

<file path=xl/ctrlProps/ctrlProp172.xml><?xml version="1.0" encoding="utf-8"?>
<formControlPr xmlns="http://schemas.microsoft.com/office/spreadsheetml/2009/9/main" objectType="CheckBox" checked="Checked" fmlaLink="$D$4" lockText="1" noThreeD="1"/>
</file>

<file path=xl/ctrlProps/ctrlProp173.xml><?xml version="1.0" encoding="utf-8"?>
<formControlPr xmlns="http://schemas.microsoft.com/office/spreadsheetml/2009/9/main" objectType="CheckBox" checked="Checked" fmlaLink="$D$4" lockText="1" noThreeD="1"/>
</file>

<file path=xl/ctrlProps/ctrlProp174.xml><?xml version="1.0" encoding="utf-8"?>
<formControlPr xmlns="http://schemas.microsoft.com/office/spreadsheetml/2009/9/main" objectType="CheckBox" checked="Checked" fmlaLink="$D$4" lockText="1" noThreeD="1"/>
</file>

<file path=xl/ctrlProps/ctrlProp175.xml><?xml version="1.0" encoding="utf-8"?>
<formControlPr xmlns="http://schemas.microsoft.com/office/spreadsheetml/2009/9/main" objectType="CheckBox" checked="Checked" fmlaLink="$D$4" lockText="1" noThreeD="1"/>
</file>

<file path=xl/ctrlProps/ctrlProp176.xml><?xml version="1.0" encoding="utf-8"?>
<formControlPr xmlns="http://schemas.microsoft.com/office/spreadsheetml/2009/9/main" objectType="CheckBox" checked="Checked" fmlaLink="$D$4" lockText="1" noThreeD="1"/>
</file>

<file path=xl/ctrlProps/ctrlProp177.xml><?xml version="1.0" encoding="utf-8"?>
<formControlPr xmlns="http://schemas.microsoft.com/office/spreadsheetml/2009/9/main" objectType="CheckBox" checked="Checked" fmlaLink="$D$4" lockText="1" noThreeD="1"/>
</file>

<file path=xl/ctrlProps/ctrlProp178.xml><?xml version="1.0" encoding="utf-8"?>
<formControlPr xmlns="http://schemas.microsoft.com/office/spreadsheetml/2009/9/main" objectType="CheckBox" checked="Checked" fmlaLink="$D$4" lockText="1" noThreeD="1"/>
</file>

<file path=xl/ctrlProps/ctrlProp179.xml><?xml version="1.0" encoding="utf-8"?>
<formControlPr xmlns="http://schemas.microsoft.com/office/spreadsheetml/2009/9/main" objectType="CheckBox" checked="Checked" fmlaLink="$D$4" lockText="1" noThreeD="1"/>
</file>

<file path=xl/ctrlProps/ctrlProp180.xml><?xml version="1.0" encoding="utf-8"?>
<formControlPr xmlns="http://schemas.microsoft.com/office/spreadsheetml/2009/9/main" objectType="CheckBox" checked="Checked" fmlaLink="$D$4" lockText="1" noThreeD="1"/>
</file>

<file path=xl/ctrlProps/ctrlProp181.xml><?xml version="1.0" encoding="utf-8"?>
<formControlPr xmlns="http://schemas.microsoft.com/office/spreadsheetml/2009/9/main" objectType="CheckBox" checked="Checked" fmlaLink="$E$4" lockText="1"/>
</file>

<file path=xl/ctrlProps/ctrlProp182.xml><?xml version="1.0" encoding="utf-8"?>
<formControlPr xmlns="http://schemas.microsoft.com/office/spreadsheetml/2009/9/main" objectType="CheckBox" checked="Checked" fmlaLink="$E$4" lockText="1"/>
</file>

<file path=xl/ctrlProps/ctrlProp183.xml><?xml version="1.0" encoding="utf-8"?>
<formControlPr xmlns="http://schemas.microsoft.com/office/spreadsheetml/2009/9/main" objectType="CheckBox" checked="Checked" fmlaLink="$F$4" lockText="1"/>
</file>

<file path=xl/ctrlProps/ctrlProp184.xml><?xml version="1.0" encoding="utf-8"?>
<formControlPr xmlns="http://schemas.microsoft.com/office/spreadsheetml/2009/9/main" objectType="CheckBox" checked="Checked" fmlaLink="$E$4" lockText="1"/>
</file>

<file path=xl/ctrlProps/ctrlProp185.xml><?xml version="1.0" encoding="utf-8"?>
<formControlPr xmlns="http://schemas.microsoft.com/office/spreadsheetml/2009/9/main" objectType="CheckBox" checked="Checked" fmlaLink="$D$4" lockText="1"/>
</file>

<file path=xl/ctrlProps/ctrlProp186.xml><?xml version="1.0" encoding="utf-8"?>
<formControlPr xmlns="http://schemas.microsoft.com/office/spreadsheetml/2009/9/main" objectType="CheckBox" fmlaLink="$G$4" lockText="1"/>
</file>

<file path=xl/ctrlProps/ctrlProp187.xml><?xml version="1.0" encoding="utf-8"?>
<formControlPr xmlns="http://schemas.microsoft.com/office/spreadsheetml/2009/9/main" objectType="CheckBox" checked="Checked" fmlaLink="$E$4" lockText="1"/>
</file>

<file path=xl/ctrlProps/ctrlProp188.xml><?xml version="1.0" encoding="utf-8"?>
<formControlPr xmlns="http://schemas.microsoft.com/office/spreadsheetml/2009/9/main" objectType="CheckBox" checked="Checked" fmlaLink="$D$4" lockText="1"/>
</file>

<file path=xl/ctrlProps/ctrlProp189.xml><?xml version="1.0" encoding="utf-8"?>
<formControlPr xmlns="http://schemas.microsoft.com/office/spreadsheetml/2009/9/main" objectType="CheckBox" checked="Checked" fmlaLink="$H$4" lockText="1"/>
</file>

<file path=xl/ctrlProps/ctrlProp190.xml><?xml version="1.0" encoding="utf-8"?>
<formControlPr xmlns="http://schemas.microsoft.com/office/spreadsheetml/2009/9/main" objectType="CheckBox" checked="Checked" fmlaLink="$E$4" lockText="1"/>
</file>

<file path=xl/ctrlProps/ctrlProp191.xml><?xml version="1.0" encoding="utf-8"?>
<formControlPr xmlns="http://schemas.microsoft.com/office/spreadsheetml/2009/9/main" objectType="CheckBox" checked="Checked" fmlaLink="$D$4" lockText="1"/>
</file>

<file path=xl/ctrlProps/ctrlProp192.xml><?xml version="1.0" encoding="utf-8"?>
<formControlPr xmlns="http://schemas.microsoft.com/office/spreadsheetml/2009/9/main" objectType="CheckBox" fmlaLink="$I$4" lockText="1"/>
</file>

<file path=xl/ctrlProps/ctrlProp193.xml><?xml version="1.0" encoding="utf-8"?>
<formControlPr xmlns="http://schemas.microsoft.com/office/spreadsheetml/2009/9/main" objectType="CheckBox" checked="Checked" fmlaLink="$E$4" lockText="1"/>
</file>

<file path=xl/ctrlProps/ctrlProp194.xml><?xml version="1.0" encoding="utf-8"?>
<formControlPr xmlns="http://schemas.microsoft.com/office/spreadsheetml/2009/9/main" objectType="CheckBox" checked="Checked" fmlaLink="$D$4" lockText="1"/>
</file>

<file path=xl/ctrlProps/ctrlProp195.xml><?xml version="1.0" encoding="utf-8"?>
<formControlPr xmlns="http://schemas.microsoft.com/office/spreadsheetml/2009/9/main" objectType="CheckBox" fmlaLink="$K$4" lockText="1"/>
</file>

<file path=xl/ctrlProps/ctrlProp196.xml><?xml version="1.0" encoding="utf-8"?>
<formControlPr xmlns="http://schemas.microsoft.com/office/spreadsheetml/2009/9/main" objectType="CheckBox" checked="Checked" fmlaLink="$E$4" lockText="1"/>
</file>

<file path=xl/ctrlProps/ctrlProp197.xml><?xml version="1.0" encoding="utf-8"?>
<formControlPr xmlns="http://schemas.microsoft.com/office/spreadsheetml/2009/9/main" objectType="CheckBox" checked="Checked" fmlaLink="$D$4" lockText="1"/>
</file>

<file path=xl/ctrlProps/ctrlProp198.xml><?xml version="1.0" encoding="utf-8"?>
<formControlPr xmlns="http://schemas.microsoft.com/office/spreadsheetml/2009/9/main" objectType="CheckBox" fmlaLink="$L$4" lockText="1"/>
</file>

<file path=xl/ctrlProps/ctrlProp199.xml><?xml version="1.0" encoding="utf-8"?>
<formControlPr xmlns="http://schemas.microsoft.com/office/spreadsheetml/2009/9/main" objectType="CheckBox" checked="Checked" fmlaLink="$E$4" lockText="1"/>
</file>

<file path=xl/ctrlProps/ctrlProp200.xml><?xml version="1.0" encoding="utf-8"?>
<formControlPr xmlns="http://schemas.microsoft.com/office/spreadsheetml/2009/9/main" objectType="CheckBox" checked="Checked" fmlaLink="$D$4" lockText="1"/>
</file>

<file path=xl/ctrlProps/ctrlProp201.xml><?xml version="1.0" encoding="utf-8"?>
<formControlPr xmlns="http://schemas.microsoft.com/office/spreadsheetml/2009/9/main" objectType="CheckBox" fmlaLink="$M$4" lockText="1"/>
</file>

<file path=xl/ctrlProps/ctrlProp202.xml><?xml version="1.0" encoding="utf-8"?>
<formControlPr xmlns="http://schemas.microsoft.com/office/spreadsheetml/2009/9/main" objectType="CheckBox" checked="Checked" fmlaLink="$E$4" lockText="1"/>
</file>

<file path=xl/ctrlProps/ctrlProp203.xml><?xml version="1.0" encoding="utf-8"?>
<formControlPr xmlns="http://schemas.microsoft.com/office/spreadsheetml/2009/9/main" objectType="CheckBox" checked="Checked" fmlaLink="$D$4" lockText="1"/>
</file>

<file path=xl/ctrlProps/ctrlProp204.xml><?xml version="1.0" encoding="utf-8"?>
<formControlPr xmlns="http://schemas.microsoft.com/office/spreadsheetml/2009/9/main" objectType="CheckBox" fmlaLink="$N$4" lockText="1"/>
</file>

<file path=xl/ctrlProps/ctrlProp205.xml><?xml version="1.0" encoding="utf-8"?>
<formControlPr xmlns="http://schemas.microsoft.com/office/spreadsheetml/2009/9/main" objectType="CheckBox" checked="Checked" fmlaLink="$E$4" lockText="1"/>
</file>

<file path=xl/ctrlProps/ctrlProp206.xml><?xml version="1.0" encoding="utf-8"?>
<formControlPr xmlns="http://schemas.microsoft.com/office/spreadsheetml/2009/9/main" objectType="CheckBox" checked="Checked" fmlaLink="$D$4" lockText="1"/>
</file>

<file path=xl/ctrlProps/ctrlProp207.xml><?xml version="1.0" encoding="utf-8"?>
<formControlPr xmlns="http://schemas.microsoft.com/office/spreadsheetml/2009/9/main" objectType="CheckBox" fmlaLink="$O$4" lockText="1"/>
</file>

<file path=xl/ctrlProps/ctrlProp208.xml><?xml version="1.0" encoding="utf-8"?>
<formControlPr xmlns="http://schemas.microsoft.com/office/spreadsheetml/2009/9/main" objectType="CheckBox" checked="Checked" fmlaLink="$E$4" lockText="1"/>
</file>

<file path=xl/ctrlProps/ctrlProp209.xml><?xml version="1.0" encoding="utf-8"?>
<formControlPr xmlns="http://schemas.microsoft.com/office/spreadsheetml/2009/9/main" objectType="CheckBox" checked="Checked" fmlaLink="$D$4" lockText="1"/>
</file>

<file path=xl/ctrlProps/ctrlProp210.xml><?xml version="1.0" encoding="utf-8"?>
<formControlPr xmlns="http://schemas.microsoft.com/office/spreadsheetml/2009/9/main" objectType="CheckBox" fmlaLink="$P$4" lockText="1"/>
</file>

<file path=xl/ctrlProps/ctrlProp211.xml><?xml version="1.0" encoding="utf-8"?>
<formControlPr xmlns="http://schemas.microsoft.com/office/spreadsheetml/2009/9/main" objectType="CheckBox" checked="Checked" fmlaLink="$E$4" lockText="1"/>
</file>

<file path=xl/ctrlProps/ctrlProp212.xml><?xml version="1.0" encoding="utf-8"?>
<formControlPr xmlns="http://schemas.microsoft.com/office/spreadsheetml/2009/9/main" objectType="CheckBox" fmlaLink="$Q$4" lockText="1"/>
</file>

<file path=xl/ctrlProps/ctrlProp213.xml><?xml version="1.0" encoding="utf-8"?>
<formControlPr xmlns="http://schemas.microsoft.com/office/spreadsheetml/2009/9/main" objectType="CheckBox" checked="Checked" fmlaLink="$D$4" lockText="1"/>
</file>

<file path=xl/ctrlProps/ctrlProp214.xml><?xml version="1.0" encoding="utf-8"?>
<formControlPr xmlns="http://schemas.microsoft.com/office/spreadsheetml/2009/9/main" objectType="CheckBox" checked="Checked" fmlaLink="$D$4" lockText="1" noThreeD="1"/>
</file>

<file path=xl/ctrlProps/ctrlProp215.xml><?xml version="1.0" encoding="utf-8"?>
<formControlPr xmlns="http://schemas.microsoft.com/office/spreadsheetml/2009/9/main" objectType="CheckBox" checked="Checked" fmlaLink="$D$4" lockText="1" noThreeD="1"/>
</file>

<file path=xl/ctrlProps/ctrlProp216.xml><?xml version="1.0" encoding="utf-8"?>
<formControlPr xmlns="http://schemas.microsoft.com/office/spreadsheetml/2009/9/main" objectType="CheckBox" checked="Checked" fmlaLink="$E$4" lockText="1"/>
</file>

<file path=xl/ctrlProps/ctrlProp217.xml><?xml version="1.0" encoding="utf-8"?>
<formControlPr xmlns="http://schemas.microsoft.com/office/spreadsheetml/2009/9/main" objectType="CheckBox" checked="Checked" fmlaLink="$D$4" lockText="1"/>
</file>

<file path=xl/ctrlProps/ctrlProp218.xml><?xml version="1.0" encoding="utf-8"?>
<formControlPr xmlns="http://schemas.microsoft.com/office/spreadsheetml/2009/9/main" objectType="CheckBox" fmlaLink="$Q$4" lockText="1"/>
</file>

<file path=xl/ctrlProps/ctrlProp219.xml><?xml version="1.0" encoding="utf-8"?>
<formControlPr xmlns="http://schemas.microsoft.com/office/spreadsheetml/2009/9/main" objectType="CheckBox" checked="Checked" fmlaLink="$E$4" lockText="1"/>
</file>

<file path=xl/ctrlProps/ctrlProp220.xml><?xml version="1.0" encoding="utf-8"?>
<formControlPr xmlns="http://schemas.microsoft.com/office/spreadsheetml/2009/9/main" objectType="CheckBox" fmlaLink="$R$4" lockText="1"/>
</file>

<file path=xl/ctrlProps/ctrlProp221.xml><?xml version="1.0" encoding="utf-8"?>
<formControlPr xmlns="http://schemas.microsoft.com/office/spreadsheetml/2009/9/main" objectType="CheckBox" checked="Checked" fmlaLink="$D$4" lockText="1" noThreeD="1"/>
</file>

<file path=xl/ctrlProps/ctrlProp222.xml><?xml version="1.0" encoding="utf-8"?>
<formControlPr xmlns="http://schemas.microsoft.com/office/spreadsheetml/2009/9/main" objectType="CheckBox" checked="Checked" fmlaLink="$E$4" lockText="1"/>
</file>

<file path=xl/ctrlProps/ctrlProp223.xml><?xml version="1.0" encoding="utf-8"?>
<formControlPr xmlns="http://schemas.microsoft.com/office/spreadsheetml/2009/9/main" objectType="CheckBox" checked="Checked" fmlaLink="$D$4" lockText="1"/>
</file>

<file path=xl/ctrlProps/ctrlProp224.xml><?xml version="1.0" encoding="utf-8"?>
<formControlPr xmlns="http://schemas.microsoft.com/office/spreadsheetml/2009/9/main" objectType="CheckBox" fmlaLink="$J$4" lockText="1"/>
</file>

<file path=xl/ctrlProps/ctrlProp225.xml><?xml version="1.0" encoding="utf-8"?>
<formControlPr xmlns="http://schemas.microsoft.com/office/spreadsheetml/2009/9/main" objectType="CheckBox" checked="Checked" fmlaLink="$E$4" lockText="1"/>
</file>

<file path=xl/ctrlProps/ctrlProp226.xml><?xml version="1.0" encoding="utf-8"?>
<formControlPr xmlns="http://schemas.microsoft.com/office/spreadsheetml/2009/9/main" objectType="CheckBox" fmlaLink="$K$2" lockText="1" noThreeD="1"/>
</file>

<file path=xl/ctrlProps/ctrlProp227.xml><?xml version="1.0" encoding="utf-8"?>
<formControlPr xmlns="http://schemas.microsoft.com/office/spreadsheetml/2009/9/main" objectType="CheckBox" checked="Checked" fmlaLink="$D$4" lockText="1" noThreeD="1"/>
</file>

<file path=xl/ctrlProps/ctrlProp228.xml><?xml version="1.0" encoding="utf-8"?>
<formControlPr xmlns="http://schemas.microsoft.com/office/spreadsheetml/2009/9/main" objectType="CheckBox" checked="Checked" fmlaLink="$D$4" lockText="1" noThreeD="1"/>
</file>

<file path=xl/ctrlProps/ctrlProp229.xml><?xml version="1.0" encoding="utf-8"?>
<formControlPr xmlns="http://schemas.microsoft.com/office/spreadsheetml/2009/9/main" objectType="CheckBox" checked="Checked" fmlaLink="$D$4" lockText="1" noThreeD="1"/>
</file>

<file path=xl/ctrlProps/ctrlProp230.xml><?xml version="1.0" encoding="utf-8"?>
<formControlPr xmlns="http://schemas.microsoft.com/office/spreadsheetml/2009/9/main" objectType="CheckBox" checked="Checked" fmlaLink="$D$4" lockText="1" noThreeD="1"/>
</file>

<file path=xl/ctrlProps/ctrlProp231.xml><?xml version="1.0" encoding="utf-8"?>
<formControlPr xmlns="http://schemas.microsoft.com/office/spreadsheetml/2009/9/main" objectType="CheckBox" checked="Checked" fmlaLink="$D$4" lockText="1" noThreeD="1"/>
</file>

<file path=xl/ctrlProps/ctrlProp232.xml><?xml version="1.0" encoding="utf-8"?>
<formControlPr xmlns="http://schemas.microsoft.com/office/spreadsheetml/2009/9/main" objectType="CheckBox" checked="Checked" fmlaLink="$D$4" lockText="1" noThreeD="1"/>
</file>

<file path=xl/ctrlProps/ctrlProp233.xml><?xml version="1.0" encoding="utf-8"?>
<formControlPr xmlns="http://schemas.microsoft.com/office/spreadsheetml/2009/9/main" objectType="CheckBox" checked="Checked" fmlaLink="$D$4" lockText="1" noThreeD="1"/>
</file>

<file path=xl/ctrlProps/ctrlProp234.xml><?xml version="1.0" encoding="utf-8"?>
<formControlPr xmlns="http://schemas.microsoft.com/office/spreadsheetml/2009/9/main" objectType="CheckBox" checked="Checked" fmlaLink="$D$4" lockText="1" noThreeD="1"/>
</file>

<file path=xl/ctrlProps/ctrlProp235.xml><?xml version="1.0" encoding="utf-8"?>
<formControlPr xmlns="http://schemas.microsoft.com/office/spreadsheetml/2009/9/main" objectType="CheckBox" checked="Checked" fmlaLink="$D$4" lockText="1" noThreeD="1"/>
</file>

<file path=xl/ctrlProps/ctrlProp236.xml><?xml version="1.0" encoding="utf-8"?>
<formControlPr xmlns="http://schemas.microsoft.com/office/spreadsheetml/2009/9/main" objectType="CheckBox" checked="Checked" fmlaLink="$D$4" lockText="1" noThreeD="1"/>
</file>

<file path=xl/ctrlProps/ctrlProp237.xml><?xml version="1.0" encoding="utf-8"?>
<formControlPr xmlns="http://schemas.microsoft.com/office/spreadsheetml/2009/9/main" objectType="CheckBox" checked="Checked" fmlaLink="$E$4" lockText="1"/>
</file>

<file path=xl/ctrlProps/ctrlProp238.xml><?xml version="1.0" encoding="utf-8"?>
<formControlPr xmlns="http://schemas.microsoft.com/office/spreadsheetml/2009/9/main" objectType="CheckBox" checked="Checked" fmlaLink="$E$4" lockText="1"/>
</file>

<file path=xl/ctrlProps/ctrlProp239.xml><?xml version="1.0" encoding="utf-8"?>
<formControlPr xmlns="http://schemas.microsoft.com/office/spreadsheetml/2009/9/main" objectType="CheckBox" checked="Checked" fmlaLink="$F$4" lockText="1"/>
</file>

<file path=xl/ctrlProps/ctrlProp240.xml><?xml version="1.0" encoding="utf-8"?>
<formControlPr xmlns="http://schemas.microsoft.com/office/spreadsheetml/2009/9/main" objectType="CheckBox" checked="Checked" fmlaLink="$E$4" lockText="1"/>
</file>

<file path=xl/ctrlProps/ctrlProp241.xml><?xml version="1.0" encoding="utf-8"?>
<formControlPr xmlns="http://schemas.microsoft.com/office/spreadsheetml/2009/9/main" objectType="CheckBox" checked="Checked" fmlaLink="$D$4" lockText="1"/>
</file>

<file path=xl/ctrlProps/ctrlProp242.xml><?xml version="1.0" encoding="utf-8"?>
<formControlPr xmlns="http://schemas.microsoft.com/office/spreadsheetml/2009/9/main" objectType="CheckBox" checked="Checked" fmlaLink="$G$4" lockText="1"/>
</file>

<file path=xl/ctrlProps/ctrlProp243.xml><?xml version="1.0" encoding="utf-8"?>
<formControlPr xmlns="http://schemas.microsoft.com/office/spreadsheetml/2009/9/main" objectType="CheckBox" checked="Checked" fmlaLink="$E$4" lockText="1"/>
</file>

<file path=xl/ctrlProps/ctrlProp244.xml><?xml version="1.0" encoding="utf-8"?>
<formControlPr xmlns="http://schemas.microsoft.com/office/spreadsheetml/2009/9/main" objectType="CheckBox" checked="Checked" fmlaLink="$D$4" lockText="1"/>
</file>

<file path=xl/ctrlProps/ctrlProp245.xml><?xml version="1.0" encoding="utf-8"?>
<formControlPr xmlns="http://schemas.microsoft.com/office/spreadsheetml/2009/9/main" objectType="CheckBox" fmlaLink="$H$4" lockText="1"/>
</file>

<file path=xl/ctrlProps/ctrlProp246.xml><?xml version="1.0" encoding="utf-8"?>
<formControlPr xmlns="http://schemas.microsoft.com/office/spreadsheetml/2009/9/main" objectType="CheckBox" checked="Checked" fmlaLink="$E$4" lockText="1"/>
</file>

<file path=xl/ctrlProps/ctrlProp247.xml><?xml version="1.0" encoding="utf-8"?>
<formControlPr xmlns="http://schemas.microsoft.com/office/spreadsheetml/2009/9/main" objectType="CheckBox" checked="Checked" fmlaLink="$D$4" lockText="1"/>
</file>

<file path=xl/ctrlProps/ctrlProp248.xml><?xml version="1.0" encoding="utf-8"?>
<formControlPr xmlns="http://schemas.microsoft.com/office/spreadsheetml/2009/9/main" objectType="CheckBox" fmlaLink="$I$4" lockText="1"/>
</file>

<file path=xl/ctrlProps/ctrlProp249.xml><?xml version="1.0" encoding="utf-8"?>
<formControlPr xmlns="http://schemas.microsoft.com/office/spreadsheetml/2009/9/main" objectType="CheckBox" checked="Checked" fmlaLink="$E$4" lockText="1"/>
</file>

<file path=xl/ctrlProps/ctrlProp250.xml><?xml version="1.0" encoding="utf-8"?>
<formControlPr xmlns="http://schemas.microsoft.com/office/spreadsheetml/2009/9/main" objectType="CheckBox" checked="Checked" fmlaLink="$D$4" lockText="1"/>
</file>

<file path=xl/ctrlProps/ctrlProp251.xml><?xml version="1.0" encoding="utf-8"?>
<formControlPr xmlns="http://schemas.microsoft.com/office/spreadsheetml/2009/9/main" objectType="CheckBox" fmlaLink="$K$4" lockText="1"/>
</file>

<file path=xl/ctrlProps/ctrlProp252.xml><?xml version="1.0" encoding="utf-8"?>
<formControlPr xmlns="http://schemas.microsoft.com/office/spreadsheetml/2009/9/main" objectType="CheckBox" checked="Checked" fmlaLink="$E$4" lockText="1"/>
</file>

<file path=xl/ctrlProps/ctrlProp253.xml><?xml version="1.0" encoding="utf-8"?>
<formControlPr xmlns="http://schemas.microsoft.com/office/spreadsheetml/2009/9/main" objectType="CheckBox" checked="Checked" fmlaLink="$D$4" lockText="1"/>
</file>

<file path=xl/ctrlProps/ctrlProp254.xml><?xml version="1.0" encoding="utf-8"?>
<formControlPr xmlns="http://schemas.microsoft.com/office/spreadsheetml/2009/9/main" objectType="CheckBox" fmlaLink="$L$4" lockText="1"/>
</file>

<file path=xl/ctrlProps/ctrlProp255.xml><?xml version="1.0" encoding="utf-8"?>
<formControlPr xmlns="http://schemas.microsoft.com/office/spreadsheetml/2009/9/main" objectType="CheckBox" checked="Checked" fmlaLink="$E$4" lockText="1"/>
</file>

<file path=xl/ctrlProps/ctrlProp256.xml><?xml version="1.0" encoding="utf-8"?>
<formControlPr xmlns="http://schemas.microsoft.com/office/spreadsheetml/2009/9/main" objectType="CheckBox" checked="Checked" fmlaLink="$D$4" lockText="1"/>
</file>

<file path=xl/ctrlProps/ctrlProp257.xml><?xml version="1.0" encoding="utf-8"?>
<formControlPr xmlns="http://schemas.microsoft.com/office/spreadsheetml/2009/9/main" objectType="CheckBox" fmlaLink="$M$4" lockText="1"/>
</file>

<file path=xl/ctrlProps/ctrlProp258.xml><?xml version="1.0" encoding="utf-8"?>
<formControlPr xmlns="http://schemas.microsoft.com/office/spreadsheetml/2009/9/main" objectType="CheckBox" checked="Checked" fmlaLink="$E$4" lockText="1"/>
</file>

<file path=xl/ctrlProps/ctrlProp259.xml><?xml version="1.0" encoding="utf-8"?>
<formControlPr xmlns="http://schemas.microsoft.com/office/spreadsheetml/2009/9/main" objectType="CheckBox" checked="Checked" fmlaLink="$D$4" lockText="1"/>
</file>

<file path=xl/ctrlProps/ctrlProp260.xml><?xml version="1.0" encoding="utf-8"?>
<formControlPr xmlns="http://schemas.microsoft.com/office/spreadsheetml/2009/9/main" objectType="CheckBox" fmlaLink="$N$4" lockText="1"/>
</file>

<file path=xl/ctrlProps/ctrlProp261.xml><?xml version="1.0" encoding="utf-8"?>
<formControlPr xmlns="http://schemas.microsoft.com/office/spreadsheetml/2009/9/main" objectType="CheckBox" checked="Checked" fmlaLink="$E$4" lockText="1"/>
</file>

<file path=xl/ctrlProps/ctrlProp262.xml><?xml version="1.0" encoding="utf-8"?>
<formControlPr xmlns="http://schemas.microsoft.com/office/spreadsheetml/2009/9/main" objectType="CheckBox" checked="Checked" fmlaLink="$D$4" lockText="1"/>
</file>

<file path=xl/ctrlProps/ctrlProp263.xml><?xml version="1.0" encoding="utf-8"?>
<formControlPr xmlns="http://schemas.microsoft.com/office/spreadsheetml/2009/9/main" objectType="CheckBox" fmlaLink="$O$4" lockText="1"/>
</file>

<file path=xl/ctrlProps/ctrlProp264.xml><?xml version="1.0" encoding="utf-8"?>
<formControlPr xmlns="http://schemas.microsoft.com/office/spreadsheetml/2009/9/main" objectType="CheckBox" checked="Checked" fmlaLink="$E$4" lockText="1"/>
</file>

<file path=xl/ctrlProps/ctrlProp265.xml><?xml version="1.0" encoding="utf-8"?>
<formControlPr xmlns="http://schemas.microsoft.com/office/spreadsheetml/2009/9/main" objectType="CheckBox" checked="Checked" fmlaLink="$D$4" lockText="1"/>
</file>

<file path=xl/ctrlProps/ctrlProp266.xml><?xml version="1.0" encoding="utf-8"?>
<formControlPr xmlns="http://schemas.microsoft.com/office/spreadsheetml/2009/9/main" objectType="CheckBox" fmlaLink="$P$4" lockText="1"/>
</file>

<file path=xl/ctrlProps/ctrlProp267.xml><?xml version="1.0" encoding="utf-8"?>
<formControlPr xmlns="http://schemas.microsoft.com/office/spreadsheetml/2009/9/main" objectType="CheckBox" checked="Checked" fmlaLink="$E$4" lockText="1"/>
</file>

<file path=xl/ctrlProps/ctrlProp268.xml><?xml version="1.0" encoding="utf-8"?>
<formControlPr xmlns="http://schemas.microsoft.com/office/spreadsheetml/2009/9/main" objectType="CheckBox" fmlaLink="$Q$4" lockText="1"/>
</file>

<file path=xl/ctrlProps/ctrlProp269.xml><?xml version="1.0" encoding="utf-8"?>
<formControlPr xmlns="http://schemas.microsoft.com/office/spreadsheetml/2009/9/main" objectType="CheckBox" checked="Checked" fmlaLink="$D$4" lockText="1"/>
</file>

<file path=xl/ctrlProps/ctrlProp270.xml><?xml version="1.0" encoding="utf-8"?>
<formControlPr xmlns="http://schemas.microsoft.com/office/spreadsheetml/2009/9/main" objectType="CheckBox" checked="Checked" fmlaLink="$D$4" lockText="1" noThreeD="1"/>
</file>

<file path=xl/ctrlProps/ctrlProp271.xml><?xml version="1.0" encoding="utf-8"?>
<formControlPr xmlns="http://schemas.microsoft.com/office/spreadsheetml/2009/9/main" objectType="CheckBox" checked="Checked" fmlaLink="$D$4" lockText="1" noThreeD="1"/>
</file>

<file path=xl/ctrlProps/ctrlProp272.xml><?xml version="1.0" encoding="utf-8"?>
<formControlPr xmlns="http://schemas.microsoft.com/office/spreadsheetml/2009/9/main" objectType="CheckBox" checked="Checked" fmlaLink="$E$4" lockText="1"/>
</file>

<file path=xl/ctrlProps/ctrlProp273.xml><?xml version="1.0" encoding="utf-8"?>
<formControlPr xmlns="http://schemas.microsoft.com/office/spreadsheetml/2009/9/main" objectType="CheckBox" checked="Checked" fmlaLink="$D$4" lockText="1"/>
</file>

<file path=xl/ctrlProps/ctrlProp274.xml><?xml version="1.0" encoding="utf-8"?>
<formControlPr xmlns="http://schemas.microsoft.com/office/spreadsheetml/2009/9/main" objectType="CheckBox" fmlaLink="$Q$4" lockText="1"/>
</file>

<file path=xl/ctrlProps/ctrlProp275.xml><?xml version="1.0" encoding="utf-8"?>
<formControlPr xmlns="http://schemas.microsoft.com/office/spreadsheetml/2009/9/main" objectType="CheckBox" checked="Checked" fmlaLink="$E$4" lockText="1"/>
</file>

<file path=xl/ctrlProps/ctrlProp276.xml><?xml version="1.0" encoding="utf-8"?>
<formControlPr xmlns="http://schemas.microsoft.com/office/spreadsheetml/2009/9/main" objectType="CheckBox" fmlaLink="$R$4" lockText="1"/>
</file>

<file path=xl/ctrlProps/ctrlProp277.xml><?xml version="1.0" encoding="utf-8"?>
<formControlPr xmlns="http://schemas.microsoft.com/office/spreadsheetml/2009/9/main" objectType="CheckBox" checked="Checked" fmlaLink="$D$4" lockText="1" noThreeD="1"/>
</file>

<file path=xl/ctrlProps/ctrlProp278.xml><?xml version="1.0" encoding="utf-8"?>
<formControlPr xmlns="http://schemas.microsoft.com/office/spreadsheetml/2009/9/main" objectType="CheckBox" checked="Checked" fmlaLink="$E$4" lockText="1"/>
</file>

<file path=xl/ctrlProps/ctrlProp279.xml><?xml version="1.0" encoding="utf-8"?>
<formControlPr xmlns="http://schemas.microsoft.com/office/spreadsheetml/2009/9/main" objectType="CheckBox" checked="Checked" fmlaLink="$D$4" lockText="1"/>
</file>

<file path=xl/ctrlProps/ctrlProp280.xml><?xml version="1.0" encoding="utf-8"?>
<formControlPr xmlns="http://schemas.microsoft.com/office/spreadsheetml/2009/9/main" objectType="CheckBox" fmlaLink="$J$4" lockText="1"/>
</file>

<file path=xl/ctrlProps/ctrlProp281.xml><?xml version="1.0" encoding="utf-8"?>
<formControlPr xmlns="http://schemas.microsoft.com/office/spreadsheetml/2009/9/main" objectType="CheckBox" checked="Checked" fmlaLink="$E$4" lockText="1"/>
</file>

<file path=xl/ctrlProps/ctrlProp282.xml><?xml version="1.0" encoding="utf-8"?>
<formControlPr xmlns="http://schemas.microsoft.com/office/spreadsheetml/2009/9/main" objectType="CheckBox" fmlaLink="$K$2" lockText="1" noThreeD="1"/>
</file>

<file path=xl/ctrlProps/ctrlProp283.xml><?xml version="1.0" encoding="utf-8"?>
<formControlPr xmlns="http://schemas.microsoft.com/office/spreadsheetml/2009/9/main" objectType="CheckBox" checked="Checked" fmlaLink="$D$4" lockText="1" noThreeD="1"/>
</file>

<file path=xl/ctrlProps/ctrlProp284.xml><?xml version="1.0" encoding="utf-8"?>
<formControlPr xmlns="http://schemas.microsoft.com/office/spreadsheetml/2009/9/main" objectType="CheckBox" checked="Checked" fmlaLink="$D$4" lockText="1" noThreeD="1"/>
</file>

<file path=xl/ctrlProps/ctrlProp285.xml><?xml version="1.0" encoding="utf-8"?>
<formControlPr xmlns="http://schemas.microsoft.com/office/spreadsheetml/2009/9/main" objectType="CheckBox" checked="Checked" fmlaLink="$D$4" lockText="1" noThreeD="1"/>
</file>

<file path=xl/ctrlProps/ctrlProp286.xml><?xml version="1.0" encoding="utf-8"?>
<formControlPr xmlns="http://schemas.microsoft.com/office/spreadsheetml/2009/9/main" objectType="CheckBox" checked="Checked" fmlaLink="$D$4" lockText="1" noThreeD="1"/>
</file>

<file path=xl/ctrlProps/ctrlProp287.xml><?xml version="1.0" encoding="utf-8"?>
<formControlPr xmlns="http://schemas.microsoft.com/office/spreadsheetml/2009/9/main" objectType="CheckBox" checked="Checked" fmlaLink="$D$4" lockText="1" noThreeD="1"/>
</file>

<file path=xl/ctrlProps/ctrlProp288.xml><?xml version="1.0" encoding="utf-8"?>
<formControlPr xmlns="http://schemas.microsoft.com/office/spreadsheetml/2009/9/main" objectType="CheckBox" checked="Checked" fmlaLink="$D$4" lockText="1" noThreeD="1"/>
</file>

<file path=xl/ctrlProps/ctrlProp289.xml><?xml version="1.0" encoding="utf-8"?>
<formControlPr xmlns="http://schemas.microsoft.com/office/spreadsheetml/2009/9/main" objectType="CheckBox" checked="Checked" fmlaLink="$D$4" lockText="1" noThreeD="1"/>
</file>

<file path=xl/ctrlProps/ctrlProp290.xml><?xml version="1.0" encoding="utf-8"?>
<formControlPr xmlns="http://schemas.microsoft.com/office/spreadsheetml/2009/9/main" objectType="CheckBox" checked="Checked" fmlaLink="$D$4" lockText="1" noThreeD="1"/>
</file>

<file path=xl/ctrlProps/ctrlProp291.xml><?xml version="1.0" encoding="utf-8"?>
<formControlPr xmlns="http://schemas.microsoft.com/office/spreadsheetml/2009/9/main" objectType="CheckBox" checked="Checked" fmlaLink="$D$4" lockText="1" noThreeD="1"/>
</file>

<file path=xl/ctrlProps/ctrlProp292.xml><?xml version="1.0" encoding="utf-8"?>
<formControlPr xmlns="http://schemas.microsoft.com/office/spreadsheetml/2009/9/main" objectType="CheckBox" checked="Checked" fmlaLink="$D$4" lockText="1" noThreeD="1"/>
</file>

<file path=xl/ctrlProps/ctrlProp293.xml><?xml version="1.0" encoding="utf-8"?>
<formControlPr xmlns="http://schemas.microsoft.com/office/spreadsheetml/2009/9/main" objectType="CheckBox" checked="Checked" fmlaLink="$E$4" lockText="1"/>
</file>

<file path=xl/ctrlProps/ctrlProp294.xml><?xml version="1.0" encoding="utf-8"?>
<formControlPr xmlns="http://schemas.microsoft.com/office/spreadsheetml/2009/9/main" objectType="CheckBox" checked="Checked" fmlaLink="$E$4" lockText="1"/>
</file>

<file path=xl/ctrlProps/ctrlProp295.xml><?xml version="1.0" encoding="utf-8"?>
<formControlPr xmlns="http://schemas.microsoft.com/office/spreadsheetml/2009/9/main" objectType="CheckBox" checked="Checked" fmlaLink="$F$4" lockText="1"/>
</file>

<file path=xl/ctrlProps/ctrlProp296.xml><?xml version="1.0" encoding="utf-8"?>
<formControlPr xmlns="http://schemas.microsoft.com/office/spreadsheetml/2009/9/main" objectType="CheckBox" checked="Checked" fmlaLink="$E$4" lockText="1"/>
</file>

<file path=xl/ctrlProps/ctrlProp297.xml><?xml version="1.0" encoding="utf-8"?>
<formControlPr xmlns="http://schemas.microsoft.com/office/spreadsheetml/2009/9/main" objectType="CheckBox" checked="Checked" fmlaLink="$D$4" lockText="1"/>
</file>

<file path=xl/ctrlProps/ctrlProp298.xml><?xml version="1.0" encoding="utf-8"?>
<formControlPr xmlns="http://schemas.microsoft.com/office/spreadsheetml/2009/9/main" objectType="CheckBox" checked="Checked" fmlaLink="$G$4" lockText="1"/>
</file>

<file path=xl/ctrlProps/ctrlProp299.xml><?xml version="1.0" encoding="utf-8"?>
<formControlPr xmlns="http://schemas.microsoft.com/office/spreadsheetml/2009/9/main" objectType="CheckBox" checked="Checked" fmlaLink="$E$4" lockText="1"/>
</file>

<file path=xl/ctrlProps/ctrlProp300.xml><?xml version="1.0" encoding="utf-8"?>
<formControlPr xmlns="http://schemas.microsoft.com/office/spreadsheetml/2009/9/main" objectType="CheckBox" checked="Checked" fmlaLink="$D$4" lockText="1"/>
</file>

<file path=xl/ctrlProps/ctrlProp301.xml><?xml version="1.0" encoding="utf-8"?>
<formControlPr xmlns="http://schemas.microsoft.com/office/spreadsheetml/2009/9/main" objectType="CheckBox" checked="Checked" fmlaLink="$H$4" lockText="1"/>
</file>

<file path=xl/ctrlProps/ctrlProp302.xml><?xml version="1.0" encoding="utf-8"?>
<formControlPr xmlns="http://schemas.microsoft.com/office/spreadsheetml/2009/9/main" objectType="CheckBox" checked="Checked" fmlaLink="$E$4" lockText="1"/>
</file>

<file path=xl/ctrlProps/ctrlProp303.xml><?xml version="1.0" encoding="utf-8"?>
<formControlPr xmlns="http://schemas.microsoft.com/office/spreadsheetml/2009/9/main" objectType="CheckBox" checked="Checked" fmlaLink="$D$4" lockText="1"/>
</file>

<file path=xl/ctrlProps/ctrlProp304.xml><?xml version="1.0" encoding="utf-8"?>
<formControlPr xmlns="http://schemas.microsoft.com/office/spreadsheetml/2009/9/main" objectType="CheckBox" fmlaLink="$I$4" lockText="1"/>
</file>

<file path=xl/ctrlProps/ctrlProp305.xml><?xml version="1.0" encoding="utf-8"?>
<formControlPr xmlns="http://schemas.microsoft.com/office/spreadsheetml/2009/9/main" objectType="CheckBox" checked="Checked" fmlaLink="$E$4" lockText="1"/>
</file>

<file path=xl/ctrlProps/ctrlProp306.xml><?xml version="1.0" encoding="utf-8"?>
<formControlPr xmlns="http://schemas.microsoft.com/office/spreadsheetml/2009/9/main" objectType="CheckBox" checked="Checked" fmlaLink="$D$4" lockText="1"/>
</file>

<file path=xl/ctrlProps/ctrlProp307.xml><?xml version="1.0" encoding="utf-8"?>
<formControlPr xmlns="http://schemas.microsoft.com/office/spreadsheetml/2009/9/main" objectType="CheckBox" fmlaLink="$K$4" lockText="1"/>
</file>

<file path=xl/ctrlProps/ctrlProp308.xml><?xml version="1.0" encoding="utf-8"?>
<formControlPr xmlns="http://schemas.microsoft.com/office/spreadsheetml/2009/9/main" objectType="CheckBox" checked="Checked" fmlaLink="$E$4" lockText="1"/>
</file>

<file path=xl/ctrlProps/ctrlProp309.xml><?xml version="1.0" encoding="utf-8"?>
<formControlPr xmlns="http://schemas.microsoft.com/office/spreadsheetml/2009/9/main" objectType="CheckBox" checked="Checked" fmlaLink="$D$4" lockText="1"/>
</file>

<file path=xl/ctrlProps/ctrlProp310.xml><?xml version="1.0" encoding="utf-8"?>
<formControlPr xmlns="http://schemas.microsoft.com/office/spreadsheetml/2009/9/main" objectType="CheckBox" fmlaLink="$L$4" lockText="1"/>
</file>

<file path=xl/ctrlProps/ctrlProp311.xml><?xml version="1.0" encoding="utf-8"?>
<formControlPr xmlns="http://schemas.microsoft.com/office/spreadsheetml/2009/9/main" objectType="CheckBox" checked="Checked" fmlaLink="$E$4" lockText="1"/>
</file>

<file path=xl/ctrlProps/ctrlProp312.xml><?xml version="1.0" encoding="utf-8"?>
<formControlPr xmlns="http://schemas.microsoft.com/office/spreadsheetml/2009/9/main" objectType="CheckBox" checked="Checked" fmlaLink="$D$4" lockText="1"/>
</file>

<file path=xl/ctrlProps/ctrlProp313.xml><?xml version="1.0" encoding="utf-8"?>
<formControlPr xmlns="http://schemas.microsoft.com/office/spreadsheetml/2009/9/main" objectType="CheckBox" fmlaLink="$M$4" lockText="1"/>
</file>

<file path=xl/ctrlProps/ctrlProp314.xml><?xml version="1.0" encoding="utf-8"?>
<formControlPr xmlns="http://schemas.microsoft.com/office/spreadsheetml/2009/9/main" objectType="CheckBox" checked="Checked" fmlaLink="$E$4" lockText="1"/>
</file>

<file path=xl/ctrlProps/ctrlProp315.xml><?xml version="1.0" encoding="utf-8"?>
<formControlPr xmlns="http://schemas.microsoft.com/office/spreadsheetml/2009/9/main" objectType="CheckBox" checked="Checked" fmlaLink="$D$4" lockText="1"/>
</file>

<file path=xl/ctrlProps/ctrlProp316.xml><?xml version="1.0" encoding="utf-8"?>
<formControlPr xmlns="http://schemas.microsoft.com/office/spreadsheetml/2009/9/main" objectType="CheckBox" fmlaLink="$N$4" lockText="1"/>
</file>

<file path=xl/ctrlProps/ctrlProp317.xml><?xml version="1.0" encoding="utf-8"?>
<formControlPr xmlns="http://schemas.microsoft.com/office/spreadsheetml/2009/9/main" objectType="CheckBox" checked="Checked" fmlaLink="$E$4" lockText="1"/>
</file>

<file path=xl/ctrlProps/ctrlProp318.xml><?xml version="1.0" encoding="utf-8"?>
<formControlPr xmlns="http://schemas.microsoft.com/office/spreadsheetml/2009/9/main" objectType="CheckBox" checked="Checked" fmlaLink="$D$4" lockText="1"/>
</file>

<file path=xl/ctrlProps/ctrlProp319.xml><?xml version="1.0" encoding="utf-8"?>
<formControlPr xmlns="http://schemas.microsoft.com/office/spreadsheetml/2009/9/main" objectType="CheckBox" fmlaLink="$O$4" lockText="1"/>
</file>

<file path=xl/ctrlProps/ctrlProp320.xml><?xml version="1.0" encoding="utf-8"?>
<formControlPr xmlns="http://schemas.microsoft.com/office/spreadsheetml/2009/9/main" objectType="CheckBox" checked="Checked" fmlaLink="$E$4" lockText="1"/>
</file>

<file path=xl/ctrlProps/ctrlProp321.xml><?xml version="1.0" encoding="utf-8"?>
<formControlPr xmlns="http://schemas.microsoft.com/office/spreadsheetml/2009/9/main" objectType="CheckBox" checked="Checked" fmlaLink="$D$4" lockText="1"/>
</file>

<file path=xl/ctrlProps/ctrlProp322.xml><?xml version="1.0" encoding="utf-8"?>
<formControlPr xmlns="http://schemas.microsoft.com/office/spreadsheetml/2009/9/main" objectType="CheckBox" fmlaLink="$P$4" lockText="1"/>
</file>

<file path=xl/ctrlProps/ctrlProp323.xml><?xml version="1.0" encoding="utf-8"?>
<formControlPr xmlns="http://schemas.microsoft.com/office/spreadsheetml/2009/9/main" objectType="CheckBox" checked="Checked" fmlaLink="$E$4" lockText="1"/>
</file>

<file path=xl/ctrlProps/ctrlProp324.xml><?xml version="1.0" encoding="utf-8"?>
<formControlPr xmlns="http://schemas.microsoft.com/office/spreadsheetml/2009/9/main" objectType="CheckBox" fmlaLink="$Q$4" lockText="1"/>
</file>

<file path=xl/ctrlProps/ctrlProp325.xml><?xml version="1.0" encoding="utf-8"?>
<formControlPr xmlns="http://schemas.microsoft.com/office/spreadsheetml/2009/9/main" objectType="CheckBox" checked="Checked" fmlaLink="$D$4" lockText="1"/>
</file>

<file path=xl/ctrlProps/ctrlProp326.xml><?xml version="1.0" encoding="utf-8"?>
<formControlPr xmlns="http://schemas.microsoft.com/office/spreadsheetml/2009/9/main" objectType="CheckBox" checked="Checked" fmlaLink="$D$4" lockText="1" noThreeD="1"/>
</file>

<file path=xl/ctrlProps/ctrlProp327.xml><?xml version="1.0" encoding="utf-8"?>
<formControlPr xmlns="http://schemas.microsoft.com/office/spreadsheetml/2009/9/main" objectType="CheckBox" checked="Checked" fmlaLink="$D$4" lockText="1" noThreeD="1"/>
</file>

<file path=xl/ctrlProps/ctrlProp328.xml><?xml version="1.0" encoding="utf-8"?>
<formControlPr xmlns="http://schemas.microsoft.com/office/spreadsheetml/2009/9/main" objectType="CheckBox" checked="Checked" fmlaLink="$E$4" lockText="1"/>
</file>

<file path=xl/ctrlProps/ctrlProp329.xml><?xml version="1.0" encoding="utf-8"?>
<formControlPr xmlns="http://schemas.microsoft.com/office/spreadsheetml/2009/9/main" objectType="CheckBox" checked="Checked" fmlaLink="$D$4" lockText="1"/>
</file>

<file path=xl/ctrlProps/ctrlProp330.xml><?xml version="1.0" encoding="utf-8"?>
<formControlPr xmlns="http://schemas.microsoft.com/office/spreadsheetml/2009/9/main" objectType="CheckBox" fmlaLink="$Q$4" lockText="1"/>
</file>

<file path=xl/ctrlProps/ctrlProp331.xml><?xml version="1.0" encoding="utf-8"?>
<formControlPr xmlns="http://schemas.microsoft.com/office/spreadsheetml/2009/9/main" objectType="CheckBox" checked="Checked" fmlaLink="$E$4" lockText="1"/>
</file>

<file path=xl/ctrlProps/ctrlProp332.xml><?xml version="1.0" encoding="utf-8"?>
<formControlPr xmlns="http://schemas.microsoft.com/office/spreadsheetml/2009/9/main" objectType="CheckBox" fmlaLink="$R$4" lockText="1"/>
</file>

<file path=xl/ctrlProps/ctrlProp333.xml><?xml version="1.0" encoding="utf-8"?>
<formControlPr xmlns="http://schemas.microsoft.com/office/spreadsheetml/2009/9/main" objectType="CheckBox" checked="Checked" fmlaLink="$D$4" lockText="1" noThreeD="1"/>
</file>

<file path=xl/ctrlProps/ctrlProp334.xml><?xml version="1.0" encoding="utf-8"?>
<formControlPr xmlns="http://schemas.microsoft.com/office/spreadsheetml/2009/9/main" objectType="CheckBox" checked="Checked" fmlaLink="$E$4" lockText="1"/>
</file>

<file path=xl/ctrlProps/ctrlProp335.xml><?xml version="1.0" encoding="utf-8"?>
<formControlPr xmlns="http://schemas.microsoft.com/office/spreadsheetml/2009/9/main" objectType="CheckBox" checked="Checked" fmlaLink="$D$4" lockText="1"/>
</file>

<file path=xl/ctrlProps/ctrlProp336.xml><?xml version="1.0" encoding="utf-8"?>
<formControlPr xmlns="http://schemas.microsoft.com/office/spreadsheetml/2009/9/main" objectType="CheckBox" fmlaLink="$J$4" lockText="1"/>
</file>

<file path=xl/ctrlProps/ctrlProp337.xml><?xml version="1.0" encoding="utf-8"?>
<formControlPr xmlns="http://schemas.microsoft.com/office/spreadsheetml/2009/9/main" objectType="CheckBox" checked="Checked" fmlaLink="$E$4" lockText="1"/>
</file>

<file path=xl/ctrlProps/ctrlProp338.xml><?xml version="1.0" encoding="utf-8"?>
<formControlPr xmlns="http://schemas.microsoft.com/office/spreadsheetml/2009/9/main" objectType="CheckBox" fmlaLink="$K$2" lockText="1" noThreeD="1"/>
</file>

<file path=xl/ctrlProps/ctrlProp339.xml><?xml version="1.0" encoding="utf-8"?>
<formControlPr xmlns="http://schemas.microsoft.com/office/spreadsheetml/2009/9/main" objectType="CheckBox" checked="Checked" fmlaLink="$D$4" lockText="1" noThreeD="1"/>
</file>

<file path=xl/ctrlProps/ctrlProp340.xml><?xml version="1.0" encoding="utf-8"?>
<formControlPr xmlns="http://schemas.microsoft.com/office/spreadsheetml/2009/9/main" objectType="CheckBox" checked="Checked" fmlaLink="$D$4" lockText="1" noThreeD="1"/>
</file>

<file path=xl/ctrlProps/ctrlProp341.xml><?xml version="1.0" encoding="utf-8"?>
<formControlPr xmlns="http://schemas.microsoft.com/office/spreadsheetml/2009/9/main" objectType="CheckBox" checked="Checked" fmlaLink="$D$4" lockText="1" noThreeD="1"/>
</file>

<file path=xl/ctrlProps/ctrlProp342.xml><?xml version="1.0" encoding="utf-8"?>
<formControlPr xmlns="http://schemas.microsoft.com/office/spreadsheetml/2009/9/main" objectType="CheckBox" checked="Checked" fmlaLink="$D$4" lockText="1" noThreeD="1"/>
</file>

<file path=xl/ctrlProps/ctrlProp343.xml><?xml version="1.0" encoding="utf-8"?>
<formControlPr xmlns="http://schemas.microsoft.com/office/spreadsheetml/2009/9/main" objectType="CheckBox" checked="Checked" fmlaLink="$D$4" lockText="1" noThreeD="1"/>
</file>

<file path=xl/ctrlProps/ctrlProp344.xml><?xml version="1.0" encoding="utf-8"?>
<formControlPr xmlns="http://schemas.microsoft.com/office/spreadsheetml/2009/9/main" objectType="CheckBox" checked="Checked" fmlaLink="$D$4" lockText="1" noThreeD="1"/>
</file>

<file path=xl/ctrlProps/ctrlProp345.xml><?xml version="1.0" encoding="utf-8"?>
<formControlPr xmlns="http://schemas.microsoft.com/office/spreadsheetml/2009/9/main" objectType="CheckBox" checked="Checked" fmlaLink="$D$4" lockText="1" noThreeD="1"/>
</file>

<file path=xl/ctrlProps/ctrlProp346.xml><?xml version="1.0" encoding="utf-8"?>
<formControlPr xmlns="http://schemas.microsoft.com/office/spreadsheetml/2009/9/main" objectType="CheckBox" checked="Checked" fmlaLink="$D$4" lockText="1" noThreeD="1"/>
</file>

<file path=xl/ctrlProps/ctrlProp347.xml><?xml version="1.0" encoding="utf-8"?>
<formControlPr xmlns="http://schemas.microsoft.com/office/spreadsheetml/2009/9/main" objectType="CheckBox" checked="Checked" fmlaLink="$D$4" lockText="1" noThreeD="1"/>
</file>

<file path=xl/ctrlProps/ctrlProp348.xml><?xml version="1.0" encoding="utf-8"?>
<formControlPr xmlns="http://schemas.microsoft.com/office/spreadsheetml/2009/9/main" objectType="CheckBox" checked="Checked" fmlaLink="$D$4" lockText="1" noThreeD="1"/>
</file>

<file path=xl/ctrlProps/ctrlProp349.xml><?xml version="1.0" encoding="utf-8"?>
<formControlPr xmlns="http://schemas.microsoft.com/office/spreadsheetml/2009/9/main" objectType="CheckBox" checked="Checked" fmlaLink="$E$4" lockText="1"/>
</file>

<file path=xl/ctrlProps/ctrlProp350.xml><?xml version="1.0" encoding="utf-8"?>
<formControlPr xmlns="http://schemas.microsoft.com/office/spreadsheetml/2009/9/main" objectType="CheckBox" checked="Checked" fmlaLink="$E$4" lockText="1"/>
</file>

<file path=xl/ctrlProps/ctrlProp351.xml><?xml version="1.0" encoding="utf-8"?>
<formControlPr xmlns="http://schemas.microsoft.com/office/spreadsheetml/2009/9/main" objectType="CheckBox" checked="Checked" fmlaLink="$F$4" lockText="1"/>
</file>

<file path=xl/ctrlProps/ctrlProp352.xml><?xml version="1.0" encoding="utf-8"?>
<formControlPr xmlns="http://schemas.microsoft.com/office/spreadsheetml/2009/9/main" objectType="CheckBox" checked="Checked" fmlaLink="$E$4" lockText="1"/>
</file>

<file path=xl/ctrlProps/ctrlProp353.xml><?xml version="1.0" encoding="utf-8"?>
<formControlPr xmlns="http://schemas.microsoft.com/office/spreadsheetml/2009/9/main" objectType="CheckBox" checked="Checked" fmlaLink="$D$4" lockText="1"/>
</file>

<file path=xl/ctrlProps/ctrlProp354.xml><?xml version="1.0" encoding="utf-8"?>
<formControlPr xmlns="http://schemas.microsoft.com/office/spreadsheetml/2009/9/main" objectType="CheckBox" checked="Checked" fmlaLink="$G$4" lockText="1"/>
</file>

<file path=xl/ctrlProps/ctrlProp355.xml><?xml version="1.0" encoding="utf-8"?>
<formControlPr xmlns="http://schemas.microsoft.com/office/spreadsheetml/2009/9/main" objectType="CheckBox" checked="Checked" fmlaLink="$E$4" lockText="1"/>
</file>

<file path=xl/ctrlProps/ctrlProp356.xml><?xml version="1.0" encoding="utf-8"?>
<formControlPr xmlns="http://schemas.microsoft.com/office/spreadsheetml/2009/9/main" objectType="CheckBox" checked="Checked" fmlaLink="$D$4" lockText="1"/>
</file>

<file path=xl/ctrlProps/ctrlProp357.xml><?xml version="1.0" encoding="utf-8"?>
<formControlPr xmlns="http://schemas.microsoft.com/office/spreadsheetml/2009/9/main" objectType="CheckBox" fmlaLink="$H$4" lockText="1"/>
</file>

<file path=xl/ctrlProps/ctrlProp358.xml><?xml version="1.0" encoding="utf-8"?>
<formControlPr xmlns="http://schemas.microsoft.com/office/spreadsheetml/2009/9/main" objectType="CheckBox" checked="Checked" fmlaLink="$E$4" lockText="1"/>
</file>

<file path=xl/ctrlProps/ctrlProp359.xml><?xml version="1.0" encoding="utf-8"?>
<formControlPr xmlns="http://schemas.microsoft.com/office/spreadsheetml/2009/9/main" objectType="CheckBox" checked="Checked" fmlaLink="$D$4" lockText="1"/>
</file>

<file path=xl/ctrlProps/ctrlProp360.xml><?xml version="1.0" encoding="utf-8"?>
<formControlPr xmlns="http://schemas.microsoft.com/office/spreadsheetml/2009/9/main" objectType="CheckBox" fmlaLink="$I$4" lockText="1"/>
</file>

<file path=xl/ctrlProps/ctrlProp361.xml><?xml version="1.0" encoding="utf-8"?>
<formControlPr xmlns="http://schemas.microsoft.com/office/spreadsheetml/2009/9/main" objectType="CheckBox" checked="Checked" fmlaLink="$E$4" lockText="1"/>
</file>

<file path=xl/ctrlProps/ctrlProp362.xml><?xml version="1.0" encoding="utf-8"?>
<formControlPr xmlns="http://schemas.microsoft.com/office/spreadsheetml/2009/9/main" objectType="CheckBox" checked="Checked" fmlaLink="$D$4" lockText="1"/>
</file>

<file path=xl/ctrlProps/ctrlProp363.xml><?xml version="1.0" encoding="utf-8"?>
<formControlPr xmlns="http://schemas.microsoft.com/office/spreadsheetml/2009/9/main" objectType="CheckBox" fmlaLink="$K$4" lockText="1"/>
</file>

<file path=xl/ctrlProps/ctrlProp364.xml><?xml version="1.0" encoding="utf-8"?>
<formControlPr xmlns="http://schemas.microsoft.com/office/spreadsheetml/2009/9/main" objectType="CheckBox" checked="Checked" fmlaLink="$E$4" lockText="1"/>
</file>

<file path=xl/ctrlProps/ctrlProp365.xml><?xml version="1.0" encoding="utf-8"?>
<formControlPr xmlns="http://schemas.microsoft.com/office/spreadsheetml/2009/9/main" objectType="CheckBox" checked="Checked" fmlaLink="$D$4" lockText="1"/>
</file>

<file path=xl/ctrlProps/ctrlProp366.xml><?xml version="1.0" encoding="utf-8"?>
<formControlPr xmlns="http://schemas.microsoft.com/office/spreadsheetml/2009/9/main" objectType="CheckBox" fmlaLink="$L$4" lockText="1"/>
</file>

<file path=xl/ctrlProps/ctrlProp367.xml><?xml version="1.0" encoding="utf-8"?>
<formControlPr xmlns="http://schemas.microsoft.com/office/spreadsheetml/2009/9/main" objectType="CheckBox" checked="Checked" fmlaLink="$E$4" lockText="1"/>
</file>

<file path=xl/ctrlProps/ctrlProp368.xml><?xml version="1.0" encoding="utf-8"?>
<formControlPr xmlns="http://schemas.microsoft.com/office/spreadsheetml/2009/9/main" objectType="CheckBox" checked="Checked" fmlaLink="$D$4" lockText="1"/>
</file>

<file path=xl/ctrlProps/ctrlProp369.xml><?xml version="1.0" encoding="utf-8"?>
<formControlPr xmlns="http://schemas.microsoft.com/office/spreadsheetml/2009/9/main" objectType="CheckBox" fmlaLink="$M$4" lockText="1"/>
</file>

<file path=xl/ctrlProps/ctrlProp370.xml><?xml version="1.0" encoding="utf-8"?>
<formControlPr xmlns="http://schemas.microsoft.com/office/spreadsheetml/2009/9/main" objectType="CheckBox" checked="Checked" fmlaLink="$E$4" lockText="1"/>
</file>

<file path=xl/ctrlProps/ctrlProp371.xml><?xml version="1.0" encoding="utf-8"?>
<formControlPr xmlns="http://schemas.microsoft.com/office/spreadsheetml/2009/9/main" objectType="CheckBox" checked="Checked" fmlaLink="$D$4" lockText="1"/>
</file>

<file path=xl/ctrlProps/ctrlProp372.xml><?xml version="1.0" encoding="utf-8"?>
<formControlPr xmlns="http://schemas.microsoft.com/office/spreadsheetml/2009/9/main" objectType="CheckBox" fmlaLink="$N$4" lockText="1"/>
</file>

<file path=xl/ctrlProps/ctrlProp373.xml><?xml version="1.0" encoding="utf-8"?>
<formControlPr xmlns="http://schemas.microsoft.com/office/spreadsheetml/2009/9/main" objectType="CheckBox" checked="Checked" fmlaLink="$E$4" lockText="1"/>
</file>

<file path=xl/ctrlProps/ctrlProp374.xml><?xml version="1.0" encoding="utf-8"?>
<formControlPr xmlns="http://schemas.microsoft.com/office/spreadsheetml/2009/9/main" objectType="CheckBox" checked="Checked" fmlaLink="$D$4" lockText="1"/>
</file>

<file path=xl/ctrlProps/ctrlProp375.xml><?xml version="1.0" encoding="utf-8"?>
<formControlPr xmlns="http://schemas.microsoft.com/office/spreadsheetml/2009/9/main" objectType="CheckBox" fmlaLink="$O$4" lockText="1"/>
</file>

<file path=xl/ctrlProps/ctrlProp376.xml><?xml version="1.0" encoding="utf-8"?>
<formControlPr xmlns="http://schemas.microsoft.com/office/spreadsheetml/2009/9/main" objectType="CheckBox" checked="Checked" fmlaLink="$E$4" lockText="1"/>
</file>

<file path=xl/ctrlProps/ctrlProp377.xml><?xml version="1.0" encoding="utf-8"?>
<formControlPr xmlns="http://schemas.microsoft.com/office/spreadsheetml/2009/9/main" objectType="CheckBox" checked="Checked" fmlaLink="$D$4" lockText="1"/>
</file>

<file path=xl/ctrlProps/ctrlProp378.xml><?xml version="1.0" encoding="utf-8"?>
<formControlPr xmlns="http://schemas.microsoft.com/office/spreadsheetml/2009/9/main" objectType="CheckBox" fmlaLink="$P$4" lockText="1"/>
</file>

<file path=xl/ctrlProps/ctrlProp379.xml><?xml version="1.0" encoding="utf-8"?>
<formControlPr xmlns="http://schemas.microsoft.com/office/spreadsheetml/2009/9/main" objectType="CheckBox" checked="Checked" fmlaLink="$E$4" lockText="1"/>
</file>

<file path=xl/ctrlProps/ctrlProp380.xml><?xml version="1.0" encoding="utf-8"?>
<formControlPr xmlns="http://schemas.microsoft.com/office/spreadsheetml/2009/9/main" objectType="CheckBox" fmlaLink="$Q$4" lockText="1"/>
</file>

<file path=xl/ctrlProps/ctrlProp381.xml><?xml version="1.0" encoding="utf-8"?>
<formControlPr xmlns="http://schemas.microsoft.com/office/spreadsheetml/2009/9/main" objectType="CheckBox" checked="Checked" fmlaLink="$D$4" lockText="1"/>
</file>

<file path=xl/ctrlProps/ctrlProp382.xml><?xml version="1.0" encoding="utf-8"?>
<formControlPr xmlns="http://schemas.microsoft.com/office/spreadsheetml/2009/9/main" objectType="CheckBox" checked="Checked" fmlaLink="$D$4" lockText="1" noThreeD="1"/>
</file>

<file path=xl/ctrlProps/ctrlProp383.xml><?xml version="1.0" encoding="utf-8"?>
<formControlPr xmlns="http://schemas.microsoft.com/office/spreadsheetml/2009/9/main" objectType="CheckBox" checked="Checked" fmlaLink="$D$4" lockText="1" noThreeD="1"/>
</file>

<file path=xl/ctrlProps/ctrlProp384.xml><?xml version="1.0" encoding="utf-8"?>
<formControlPr xmlns="http://schemas.microsoft.com/office/spreadsheetml/2009/9/main" objectType="CheckBox" checked="Checked" fmlaLink="$E$4" lockText="1"/>
</file>

<file path=xl/ctrlProps/ctrlProp385.xml><?xml version="1.0" encoding="utf-8"?>
<formControlPr xmlns="http://schemas.microsoft.com/office/spreadsheetml/2009/9/main" objectType="CheckBox" checked="Checked" fmlaLink="$D$4" lockText="1"/>
</file>

<file path=xl/ctrlProps/ctrlProp386.xml><?xml version="1.0" encoding="utf-8"?>
<formControlPr xmlns="http://schemas.microsoft.com/office/spreadsheetml/2009/9/main" objectType="CheckBox" fmlaLink="$Q$4" lockText="1"/>
</file>

<file path=xl/ctrlProps/ctrlProp387.xml><?xml version="1.0" encoding="utf-8"?>
<formControlPr xmlns="http://schemas.microsoft.com/office/spreadsheetml/2009/9/main" objectType="CheckBox" checked="Checked" fmlaLink="$E$4" lockText="1"/>
</file>

<file path=xl/ctrlProps/ctrlProp388.xml><?xml version="1.0" encoding="utf-8"?>
<formControlPr xmlns="http://schemas.microsoft.com/office/spreadsheetml/2009/9/main" objectType="CheckBox" fmlaLink="$R$4" lockText="1"/>
</file>

<file path=xl/ctrlProps/ctrlProp389.xml><?xml version="1.0" encoding="utf-8"?>
<formControlPr xmlns="http://schemas.microsoft.com/office/spreadsheetml/2009/9/main" objectType="CheckBox" checked="Checked" fmlaLink="$D$4" lockText="1" noThreeD="1"/>
</file>

<file path=xl/ctrlProps/ctrlProp390.xml><?xml version="1.0" encoding="utf-8"?>
<formControlPr xmlns="http://schemas.microsoft.com/office/spreadsheetml/2009/9/main" objectType="CheckBox" checked="Checked" fmlaLink="$E$4" lockText="1"/>
</file>

<file path=xl/ctrlProps/ctrlProp391.xml><?xml version="1.0" encoding="utf-8"?>
<formControlPr xmlns="http://schemas.microsoft.com/office/spreadsheetml/2009/9/main" objectType="CheckBox" checked="Checked" fmlaLink="$D$4" lockText="1"/>
</file>

<file path=xl/ctrlProps/ctrlProp392.xml><?xml version="1.0" encoding="utf-8"?>
<formControlPr xmlns="http://schemas.microsoft.com/office/spreadsheetml/2009/9/main" objectType="CheckBox" fmlaLink="$J$4" lockText="1"/>
</file>

<file path=xl/ctrlProps/ctrlProp393.xml><?xml version="1.0" encoding="utf-8"?>
<formControlPr xmlns="http://schemas.microsoft.com/office/spreadsheetml/2009/9/main" objectType="CheckBox" checked="Checked" fmlaLink="$E$4" lockText="1"/>
</file>

<file path=xl/ctrlProps/ctrlProp394.xml><?xml version="1.0" encoding="utf-8"?>
<formControlPr xmlns="http://schemas.microsoft.com/office/spreadsheetml/2009/9/main" objectType="CheckBox" fmlaLink="$K$2" lockText="1" noThreeD="1"/>
</file>

<file path=xl/ctrlProps/ctrlProp395.xml><?xml version="1.0" encoding="utf-8"?>
<formControlPr xmlns="http://schemas.microsoft.com/office/spreadsheetml/2009/9/main" objectType="CheckBox" checked="Checked" fmlaLink="$D$4" lockText="1" noThreeD="1"/>
</file>

<file path=xl/ctrlProps/ctrlProp396.xml><?xml version="1.0" encoding="utf-8"?>
<formControlPr xmlns="http://schemas.microsoft.com/office/spreadsheetml/2009/9/main" objectType="CheckBox" checked="Checked" fmlaLink="$D$4" lockText="1" noThreeD="1"/>
</file>

<file path=xl/ctrlProps/ctrlProp397.xml><?xml version="1.0" encoding="utf-8"?>
<formControlPr xmlns="http://schemas.microsoft.com/office/spreadsheetml/2009/9/main" objectType="CheckBox" checked="Checked" fmlaLink="$D$4" lockText="1" noThreeD="1"/>
</file>

<file path=xl/ctrlProps/ctrlProp398.xml><?xml version="1.0" encoding="utf-8"?>
<formControlPr xmlns="http://schemas.microsoft.com/office/spreadsheetml/2009/9/main" objectType="CheckBox" checked="Checked" fmlaLink="$D$4" lockText="1" noThreeD="1"/>
</file>

<file path=xl/ctrlProps/ctrlProp399.xml><?xml version="1.0" encoding="utf-8"?>
<formControlPr xmlns="http://schemas.microsoft.com/office/spreadsheetml/2009/9/main" objectType="CheckBox" checked="Checked" fmlaLink="$D$4" lockText="1" noThreeD="1"/>
</file>

<file path=xl/ctrlProps/ctrlProp400.xml><?xml version="1.0" encoding="utf-8"?>
<formControlPr xmlns="http://schemas.microsoft.com/office/spreadsheetml/2009/9/main" objectType="CheckBox" checked="Checked" fmlaLink="$D$4" lockText="1" noThreeD="1"/>
</file>

<file path=xl/ctrlProps/ctrlProp401.xml><?xml version="1.0" encoding="utf-8"?>
<formControlPr xmlns="http://schemas.microsoft.com/office/spreadsheetml/2009/9/main" objectType="CheckBox" checked="Checked" fmlaLink="$D$4" lockText="1" noThreeD="1"/>
</file>

<file path=xl/ctrlProps/ctrlProp402.xml><?xml version="1.0" encoding="utf-8"?>
<formControlPr xmlns="http://schemas.microsoft.com/office/spreadsheetml/2009/9/main" objectType="CheckBox" checked="Checked" fmlaLink="$D$4" lockText="1" noThreeD="1"/>
</file>

<file path=xl/ctrlProps/ctrlProp403.xml><?xml version="1.0" encoding="utf-8"?>
<formControlPr xmlns="http://schemas.microsoft.com/office/spreadsheetml/2009/9/main" objectType="CheckBox" checked="Checked" fmlaLink="$D$4" lockText="1" noThreeD="1"/>
</file>

<file path=xl/ctrlProps/ctrlProp404.xml><?xml version="1.0" encoding="utf-8"?>
<formControlPr xmlns="http://schemas.microsoft.com/office/spreadsheetml/2009/9/main" objectType="CheckBox" checked="Checked" fmlaLink="$D$4" lockText="1" noThreeD="1"/>
</file>

<file path=xl/ctrlProps/ctrlProp405.xml><?xml version="1.0" encoding="utf-8"?>
<formControlPr xmlns="http://schemas.microsoft.com/office/spreadsheetml/2009/9/main" objectType="CheckBox" checked="Checked" fmlaLink="$E$4" lockText="1"/>
</file>

<file path=xl/ctrlProps/ctrlProp406.xml><?xml version="1.0" encoding="utf-8"?>
<formControlPr xmlns="http://schemas.microsoft.com/office/spreadsheetml/2009/9/main" objectType="CheckBox" checked="Checked" fmlaLink="$E$4" lockText="1"/>
</file>

<file path=xl/ctrlProps/ctrlProp407.xml><?xml version="1.0" encoding="utf-8"?>
<formControlPr xmlns="http://schemas.microsoft.com/office/spreadsheetml/2009/9/main" objectType="CheckBox" checked="Checked" fmlaLink="$F$4" lockText="1"/>
</file>

<file path=xl/ctrlProps/ctrlProp408.xml><?xml version="1.0" encoding="utf-8"?>
<formControlPr xmlns="http://schemas.microsoft.com/office/spreadsheetml/2009/9/main" objectType="CheckBox" checked="Checked" fmlaLink="$E$4" lockText="1"/>
</file>

<file path=xl/ctrlProps/ctrlProp409.xml><?xml version="1.0" encoding="utf-8"?>
<formControlPr xmlns="http://schemas.microsoft.com/office/spreadsheetml/2009/9/main" objectType="CheckBox" checked="Checked" fmlaLink="$D$4" lockText="1"/>
</file>

<file path=xl/ctrlProps/ctrlProp410.xml><?xml version="1.0" encoding="utf-8"?>
<formControlPr xmlns="http://schemas.microsoft.com/office/spreadsheetml/2009/9/main" objectType="CheckBox" checked="Checked" fmlaLink="$G$4" lockText="1"/>
</file>

<file path=xl/ctrlProps/ctrlProp411.xml><?xml version="1.0" encoding="utf-8"?>
<formControlPr xmlns="http://schemas.microsoft.com/office/spreadsheetml/2009/9/main" objectType="CheckBox" checked="Checked" fmlaLink="$E$4" lockText="1"/>
</file>

<file path=xl/ctrlProps/ctrlProp412.xml><?xml version="1.0" encoding="utf-8"?>
<formControlPr xmlns="http://schemas.microsoft.com/office/spreadsheetml/2009/9/main" objectType="CheckBox" checked="Checked" fmlaLink="$D$4" lockText="1"/>
</file>

<file path=xl/ctrlProps/ctrlProp413.xml><?xml version="1.0" encoding="utf-8"?>
<formControlPr xmlns="http://schemas.microsoft.com/office/spreadsheetml/2009/9/main" objectType="CheckBox" fmlaLink="$H$4" lockText="1"/>
</file>

<file path=xl/ctrlProps/ctrlProp414.xml><?xml version="1.0" encoding="utf-8"?>
<formControlPr xmlns="http://schemas.microsoft.com/office/spreadsheetml/2009/9/main" objectType="CheckBox" checked="Checked" fmlaLink="$E$4" lockText="1"/>
</file>

<file path=xl/ctrlProps/ctrlProp415.xml><?xml version="1.0" encoding="utf-8"?>
<formControlPr xmlns="http://schemas.microsoft.com/office/spreadsheetml/2009/9/main" objectType="CheckBox" checked="Checked" fmlaLink="$D$4" lockText="1"/>
</file>

<file path=xl/ctrlProps/ctrlProp416.xml><?xml version="1.0" encoding="utf-8"?>
<formControlPr xmlns="http://schemas.microsoft.com/office/spreadsheetml/2009/9/main" objectType="CheckBox" fmlaLink="$I$4" lockText="1"/>
</file>

<file path=xl/ctrlProps/ctrlProp417.xml><?xml version="1.0" encoding="utf-8"?>
<formControlPr xmlns="http://schemas.microsoft.com/office/spreadsheetml/2009/9/main" objectType="CheckBox" checked="Checked" fmlaLink="$E$4" lockText="1"/>
</file>

<file path=xl/ctrlProps/ctrlProp418.xml><?xml version="1.0" encoding="utf-8"?>
<formControlPr xmlns="http://schemas.microsoft.com/office/spreadsheetml/2009/9/main" objectType="CheckBox" checked="Checked" fmlaLink="$D$4" lockText="1"/>
</file>

<file path=xl/ctrlProps/ctrlProp419.xml><?xml version="1.0" encoding="utf-8"?>
<formControlPr xmlns="http://schemas.microsoft.com/office/spreadsheetml/2009/9/main" objectType="CheckBox" fmlaLink="$K$4" lockText="1"/>
</file>

<file path=xl/ctrlProps/ctrlProp420.xml><?xml version="1.0" encoding="utf-8"?>
<formControlPr xmlns="http://schemas.microsoft.com/office/spreadsheetml/2009/9/main" objectType="CheckBox" checked="Checked" fmlaLink="$E$4" lockText="1"/>
</file>

<file path=xl/ctrlProps/ctrlProp421.xml><?xml version="1.0" encoding="utf-8"?>
<formControlPr xmlns="http://schemas.microsoft.com/office/spreadsheetml/2009/9/main" objectType="CheckBox" checked="Checked" fmlaLink="$D$4" lockText="1"/>
</file>

<file path=xl/ctrlProps/ctrlProp422.xml><?xml version="1.0" encoding="utf-8"?>
<formControlPr xmlns="http://schemas.microsoft.com/office/spreadsheetml/2009/9/main" objectType="CheckBox" fmlaLink="$L$4" lockText="1"/>
</file>

<file path=xl/ctrlProps/ctrlProp423.xml><?xml version="1.0" encoding="utf-8"?>
<formControlPr xmlns="http://schemas.microsoft.com/office/spreadsheetml/2009/9/main" objectType="CheckBox" checked="Checked" fmlaLink="$E$4" lockText="1"/>
</file>

<file path=xl/ctrlProps/ctrlProp424.xml><?xml version="1.0" encoding="utf-8"?>
<formControlPr xmlns="http://schemas.microsoft.com/office/spreadsheetml/2009/9/main" objectType="CheckBox" checked="Checked" fmlaLink="$D$4" lockText="1"/>
</file>

<file path=xl/ctrlProps/ctrlProp425.xml><?xml version="1.0" encoding="utf-8"?>
<formControlPr xmlns="http://schemas.microsoft.com/office/spreadsheetml/2009/9/main" objectType="CheckBox" fmlaLink="$M$4" lockText="1"/>
</file>

<file path=xl/ctrlProps/ctrlProp426.xml><?xml version="1.0" encoding="utf-8"?>
<formControlPr xmlns="http://schemas.microsoft.com/office/spreadsheetml/2009/9/main" objectType="CheckBox" checked="Checked" fmlaLink="$E$4" lockText="1"/>
</file>

<file path=xl/ctrlProps/ctrlProp427.xml><?xml version="1.0" encoding="utf-8"?>
<formControlPr xmlns="http://schemas.microsoft.com/office/spreadsheetml/2009/9/main" objectType="CheckBox" checked="Checked" fmlaLink="$D$4" lockText="1"/>
</file>

<file path=xl/ctrlProps/ctrlProp428.xml><?xml version="1.0" encoding="utf-8"?>
<formControlPr xmlns="http://schemas.microsoft.com/office/spreadsheetml/2009/9/main" objectType="CheckBox" fmlaLink="$N$4" lockText="1"/>
</file>

<file path=xl/ctrlProps/ctrlProp429.xml><?xml version="1.0" encoding="utf-8"?>
<formControlPr xmlns="http://schemas.microsoft.com/office/spreadsheetml/2009/9/main" objectType="CheckBox" checked="Checked" fmlaLink="$E$4" lockText="1"/>
</file>

<file path=xl/ctrlProps/ctrlProp430.xml><?xml version="1.0" encoding="utf-8"?>
<formControlPr xmlns="http://schemas.microsoft.com/office/spreadsheetml/2009/9/main" objectType="CheckBox" checked="Checked" fmlaLink="$D$4" lockText="1"/>
</file>

<file path=xl/ctrlProps/ctrlProp431.xml><?xml version="1.0" encoding="utf-8"?>
<formControlPr xmlns="http://schemas.microsoft.com/office/spreadsheetml/2009/9/main" objectType="CheckBox" fmlaLink="$O$4" lockText="1"/>
</file>

<file path=xl/ctrlProps/ctrlProp432.xml><?xml version="1.0" encoding="utf-8"?>
<formControlPr xmlns="http://schemas.microsoft.com/office/spreadsheetml/2009/9/main" objectType="CheckBox" checked="Checked" fmlaLink="$E$4" lockText="1"/>
</file>

<file path=xl/ctrlProps/ctrlProp433.xml><?xml version="1.0" encoding="utf-8"?>
<formControlPr xmlns="http://schemas.microsoft.com/office/spreadsheetml/2009/9/main" objectType="CheckBox" checked="Checked" fmlaLink="$D$4" lockText="1"/>
</file>

<file path=xl/ctrlProps/ctrlProp434.xml><?xml version="1.0" encoding="utf-8"?>
<formControlPr xmlns="http://schemas.microsoft.com/office/spreadsheetml/2009/9/main" objectType="CheckBox" fmlaLink="$P$4" lockText="1"/>
</file>

<file path=xl/ctrlProps/ctrlProp435.xml><?xml version="1.0" encoding="utf-8"?>
<formControlPr xmlns="http://schemas.microsoft.com/office/spreadsheetml/2009/9/main" objectType="CheckBox" checked="Checked" fmlaLink="$E$4" lockText="1"/>
</file>

<file path=xl/ctrlProps/ctrlProp436.xml><?xml version="1.0" encoding="utf-8"?>
<formControlPr xmlns="http://schemas.microsoft.com/office/spreadsheetml/2009/9/main" objectType="CheckBox" fmlaLink="$Q$4" lockText="1"/>
</file>

<file path=xl/ctrlProps/ctrlProp437.xml><?xml version="1.0" encoding="utf-8"?>
<formControlPr xmlns="http://schemas.microsoft.com/office/spreadsheetml/2009/9/main" objectType="CheckBox" checked="Checked" fmlaLink="$D$4" lockText="1"/>
</file>

<file path=xl/ctrlProps/ctrlProp438.xml><?xml version="1.0" encoding="utf-8"?>
<formControlPr xmlns="http://schemas.microsoft.com/office/spreadsheetml/2009/9/main" objectType="CheckBox" checked="Checked" fmlaLink="$D$4" lockText="1" noThreeD="1"/>
</file>

<file path=xl/ctrlProps/ctrlProp439.xml><?xml version="1.0" encoding="utf-8"?>
<formControlPr xmlns="http://schemas.microsoft.com/office/spreadsheetml/2009/9/main" objectType="CheckBox" checked="Checked" fmlaLink="$D$4" lockText="1" noThreeD="1"/>
</file>

<file path=xl/ctrlProps/ctrlProp440.xml><?xml version="1.0" encoding="utf-8"?>
<formControlPr xmlns="http://schemas.microsoft.com/office/spreadsheetml/2009/9/main" objectType="CheckBox" checked="Checked" fmlaLink="$E$4" lockText="1"/>
</file>

<file path=xl/ctrlProps/ctrlProp441.xml><?xml version="1.0" encoding="utf-8"?>
<formControlPr xmlns="http://schemas.microsoft.com/office/spreadsheetml/2009/9/main" objectType="CheckBox" checked="Checked" fmlaLink="$D$4" lockText="1"/>
</file>

<file path=xl/ctrlProps/ctrlProp442.xml><?xml version="1.0" encoding="utf-8"?>
<formControlPr xmlns="http://schemas.microsoft.com/office/spreadsheetml/2009/9/main" objectType="CheckBox" fmlaLink="$Q$4" lockText="1"/>
</file>

<file path=xl/ctrlProps/ctrlProp443.xml><?xml version="1.0" encoding="utf-8"?>
<formControlPr xmlns="http://schemas.microsoft.com/office/spreadsheetml/2009/9/main" objectType="CheckBox" checked="Checked" fmlaLink="$E$4" lockText="1"/>
</file>

<file path=xl/ctrlProps/ctrlProp444.xml><?xml version="1.0" encoding="utf-8"?>
<formControlPr xmlns="http://schemas.microsoft.com/office/spreadsheetml/2009/9/main" objectType="CheckBox" fmlaLink="$R$4" lockText="1"/>
</file>

<file path=xl/ctrlProps/ctrlProp445.xml><?xml version="1.0" encoding="utf-8"?>
<formControlPr xmlns="http://schemas.microsoft.com/office/spreadsheetml/2009/9/main" objectType="CheckBox" checked="Checked" fmlaLink="$D$4" lockText="1" noThreeD="1"/>
</file>

<file path=xl/ctrlProps/ctrlProp446.xml><?xml version="1.0" encoding="utf-8"?>
<formControlPr xmlns="http://schemas.microsoft.com/office/spreadsheetml/2009/9/main" objectType="CheckBox" checked="Checked" fmlaLink="$E$4" lockText="1"/>
</file>

<file path=xl/ctrlProps/ctrlProp447.xml><?xml version="1.0" encoding="utf-8"?>
<formControlPr xmlns="http://schemas.microsoft.com/office/spreadsheetml/2009/9/main" objectType="CheckBox" checked="Checked" fmlaLink="$D$4" lockText="1"/>
</file>

<file path=xl/ctrlProps/ctrlProp448.xml><?xml version="1.0" encoding="utf-8"?>
<formControlPr xmlns="http://schemas.microsoft.com/office/spreadsheetml/2009/9/main" objectType="CheckBox" fmlaLink="$J$4" lockText="1"/>
</file>

<file path=xl/ctrlProps/ctrlProp449.xml><?xml version="1.0" encoding="utf-8"?>
<formControlPr xmlns="http://schemas.microsoft.com/office/spreadsheetml/2009/9/main" objectType="CheckBox" checked="Checked" fmlaLink="$E$4" lockText="1"/>
</file>

<file path=xl/ctrlProps/ctrlProp450.xml><?xml version="1.0" encoding="utf-8"?>
<formControlPr xmlns="http://schemas.microsoft.com/office/spreadsheetml/2009/9/main" objectType="CheckBox" fmlaLink="$K$2" lockText="1" noThreeD="1"/>
</file>

<file path=xl/ctrlProps/ctrlProp451.xml><?xml version="1.0" encoding="utf-8"?>
<formControlPr xmlns="http://schemas.microsoft.com/office/spreadsheetml/2009/9/main" objectType="CheckBox" checked="Checked" fmlaLink="$D$4" lockText="1" noThreeD="1"/>
</file>

<file path=xl/ctrlProps/ctrlProp452.xml><?xml version="1.0" encoding="utf-8"?>
<formControlPr xmlns="http://schemas.microsoft.com/office/spreadsheetml/2009/9/main" objectType="CheckBox" checked="Checked" fmlaLink="$D$4" lockText="1" noThreeD="1"/>
</file>

<file path=xl/ctrlProps/ctrlProp453.xml><?xml version="1.0" encoding="utf-8"?>
<formControlPr xmlns="http://schemas.microsoft.com/office/spreadsheetml/2009/9/main" objectType="CheckBox" checked="Checked" fmlaLink="$D$4" lockText="1" noThreeD="1"/>
</file>

<file path=xl/ctrlProps/ctrlProp454.xml><?xml version="1.0" encoding="utf-8"?>
<formControlPr xmlns="http://schemas.microsoft.com/office/spreadsheetml/2009/9/main" objectType="CheckBox" checked="Checked" fmlaLink="$D$4" lockText="1" noThreeD="1"/>
</file>

<file path=xl/ctrlProps/ctrlProp455.xml><?xml version="1.0" encoding="utf-8"?>
<formControlPr xmlns="http://schemas.microsoft.com/office/spreadsheetml/2009/9/main" objectType="CheckBox" checked="Checked" fmlaLink="$D$4" lockText="1" noThreeD="1"/>
</file>

<file path=xl/ctrlProps/ctrlProp456.xml><?xml version="1.0" encoding="utf-8"?>
<formControlPr xmlns="http://schemas.microsoft.com/office/spreadsheetml/2009/9/main" objectType="CheckBox" checked="Checked" fmlaLink="$D$4" lockText="1" noThreeD="1"/>
</file>

<file path=xl/ctrlProps/ctrlProp457.xml><?xml version="1.0" encoding="utf-8"?>
<formControlPr xmlns="http://schemas.microsoft.com/office/spreadsheetml/2009/9/main" objectType="CheckBox" checked="Checked" fmlaLink="$D$4" lockText="1" noThreeD="1"/>
</file>

<file path=xl/ctrlProps/ctrlProp458.xml><?xml version="1.0" encoding="utf-8"?>
<formControlPr xmlns="http://schemas.microsoft.com/office/spreadsheetml/2009/9/main" objectType="CheckBox" checked="Checked" fmlaLink="$D$4" lockText="1" noThreeD="1"/>
</file>

<file path=xl/ctrlProps/ctrlProp459.xml><?xml version="1.0" encoding="utf-8"?>
<formControlPr xmlns="http://schemas.microsoft.com/office/spreadsheetml/2009/9/main" objectType="CheckBox" checked="Checked" fmlaLink="$D$4" lockText="1" noThreeD="1"/>
</file>

<file path=xl/ctrlProps/ctrlProp460.xml><?xml version="1.0" encoding="utf-8"?>
<formControlPr xmlns="http://schemas.microsoft.com/office/spreadsheetml/2009/9/main" objectType="CheckBox" checked="Checked" fmlaLink="$D$4" lockText="1" noThreeD="1"/>
</file>

<file path=xl/ctrlProps/ctrlProp461.xml><?xml version="1.0" encoding="utf-8"?>
<formControlPr xmlns="http://schemas.microsoft.com/office/spreadsheetml/2009/9/main" objectType="CheckBox" checked="Checked" fmlaLink="$E$4" lockText="1"/>
</file>

<file path=xl/ctrlProps/ctrlProp462.xml><?xml version="1.0" encoding="utf-8"?>
<formControlPr xmlns="http://schemas.microsoft.com/office/spreadsheetml/2009/9/main" objectType="CheckBox" checked="Checked" fmlaLink="$E$4" lockText="1"/>
</file>

<file path=xl/ctrlProps/ctrlProp463.xml><?xml version="1.0" encoding="utf-8"?>
<formControlPr xmlns="http://schemas.microsoft.com/office/spreadsheetml/2009/9/main" objectType="CheckBox" checked="Checked" fmlaLink="$F$4" lockText="1"/>
</file>

<file path=xl/ctrlProps/ctrlProp464.xml><?xml version="1.0" encoding="utf-8"?>
<formControlPr xmlns="http://schemas.microsoft.com/office/spreadsheetml/2009/9/main" objectType="CheckBox" checked="Checked" fmlaLink="$E$4" lockText="1"/>
</file>

<file path=xl/ctrlProps/ctrlProp465.xml><?xml version="1.0" encoding="utf-8"?>
<formControlPr xmlns="http://schemas.microsoft.com/office/spreadsheetml/2009/9/main" objectType="CheckBox" checked="Checked" fmlaLink="$D$4" lockText="1"/>
</file>

<file path=xl/ctrlProps/ctrlProp466.xml><?xml version="1.0" encoding="utf-8"?>
<formControlPr xmlns="http://schemas.microsoft.com/office/spreadsheetml/2009/9/main" objectType="CheckBox" checked="Checked" fmlaLink="$G$4" lockText="1"/>
</file>

<file path=xl/ctrlProps/ctrlProp467.xml><?xml version="1.0" encoding="utf-8"?>
<formControlPr xmlns="http://schemas.microsoft.com/office/spreadsheetml/2009/9/main" objectType="CheckBox" checked="Checked" fmlaLink="$E$4" lockText="1"/>
</file>

<file path=xl/ctrlProps/ctrlProp468.xml><?xml version="1.0" encoding="utf-8"?>
<formControlPr xmlns="http://schemas.microsoft.com/office/spreadsheetml/2009/9/main" objectType="CheckBox" checked="Checked" fmlaLink="$D$4" lockText="1"/>
</file>

<file path=xl/ctrlProps/ctrlProp469.xml><?xml version="1.0" encoding="utf-8"?>
<formControlPr xmlns="http://schemas.microsoft.com/office/spreadsheetml/2009/9/main" objectType="CheckBox" fmlaLink="$H$4" lockText="1"/>
</file>

<file path=xl/ctrlProps/ctrlProp470.xml><?xml version="1.0" encoding="utf-8"?>
<formControlPr xmlns="http://schemas.microsoft.com/office/spreadsheetml/2009/9/main" objectType="CheckBox" checked="Checked" fmlaLink="$E$4" lockText="1"/>
</file>

<file path=xl/ctrlProps/ctrlProp471.xml><?xml version="1.0" encoding="utf-8"?>
<formControlPr xmlns="http://schemas.microsoft.com/office/spreadsheetml/2009/9/main" objectType="CheckBox" checked="Checked" fmlaLink="$D$4" lockText="1"/>
</file>

<file path=xl/ctrlProps/ctrlProp472.xml><?xml version="1.0" encoding="utf-8"?>
<formControlPr xmlns="http://schemas.microsoft.com/office/spreadsheetml/2009/9/main" objectType="CheckBox" fmlaLink="$I$4" lockText="1"/>
</file>

<file path=xl/ctrlProps/ctrlProp473.xml><?xml version="1.0" encoding="utf-8"?>
<formControlPr xmlns="http://schemas.microsoft.com/office/spreadsheetml/2009/9/main" objectType="CheckBox" checked="Checked" fmlaLink="$E$4" lockText="1"/>
</file>

<file path=xl/ctrlProps/ctrlProp474.xml><?xml version="1.0" encoding="utf-8"?>
<formControlPr xmlns="http://schemas.microsoft.com/office/spreadsheetml/2009/9/main" objectType="CheckBox" checked="Checked" fmlaLink="$D$4" lockText="1"/>
</file>

<file path=xl/ctrlProps/ctrlProp475.xml><?xml version="1.0" encoding="utf-8"?>
<formControlPr xmlns="http://schemas.microsoft.com/office/spreadsheetml/2009/9/main" objectType="CheckBox" fmlaLink="$K$4" lockText="1"/>
</file>

<file path=xl/ctrlProps/ctrlProp476.xml><?xml version="1.0" encoding="utf-8"?>
<formControlPr xmlns="http://schemas.microsoft.com/office/spreadsheetml/2009/9/main" objectType="CheckBox" checked="Checked" fmlaLink="$E$4" lockText="1"/>
</file>

<file path=xl/ctrlProps/ctrlProp477.xml><?xml version="1.0" encoding="utf-8"?>
<formControlPr xmlns="http://schemas.microsoft.com/office/spreadsheetml/2009/9/main" objectType="CheckBox" checked="Checked" fmlaLink="$D$4" lockText="1"/>
</file>

<file path=xl/ctrlProps/ctrlProp478.xml><?xml version="1.0" encoding="utf-8"?>
<formControlPr xmlns="http://schemas.microsoft.com/office/spreadsheetml/2009/9/main" objectType="CheckBox" fmlaLink="$L$4" lockText="1"/>
</file>

<file path=xl/ctrlProps/ctrlProp479.xml><?xml version="1.0" encoding="utf-8"?>
<formControlPr xmlns="http://schemas.microsoft.com/office/spreadsheetml/2009/9/main" objectType="CheckBox" checked="Checked" fmlaLink="$E$4" lockText="1"/>
</file>

<file path=xl/ctrlProps/ctrlProp480.xml><?xml version="1.0" encoding="utf-8"?>
<formControlPr xmlns="http://schemas.microsoft.com/office/spreadsheetml/2009/9/main" objectType="CheckBox" checked="Checked" fmlaLink="$D$4" lockText="1"/>
</file>

<file path=xl/ctrlProps/ctrlProp481.xml><?xml version="1.0" encoding="utf-8"?>
<formControlPr xmlns="http://schemas.microsoft.com/office/spreadsheetml/2009/9/main" objectType="CheckBox" fmlaLink="$M$4" lockText="1"/>
</file>

<file path=xl/ctrlProps/ctrlProp482.xml><?xml version="1.0" encoding="utf-8"?>
<formControlPr xmlns="http://schemas.microsoft.com/office/spreadsheetml/2009/9/main" objectType="CheckBox" checked="Checked" fmlaLink="$E$4" lockText="1"/>
</file>

<file path=xl/ctrlProps/ctrlProp483.xml><?xml version="1.0" encoding="utf-8"?>
<formControlPr xmlns="http://schemas.microsoft.com/office/spreadsheetml/2009/9/main" objectType="CheckBox" checked="Checked" fmlaLink="$D$4" lockText="1"/>
</file>

<file path=xl/ctrlProps/ctrlProp484.xml><?xml version="1.0" encoding="utf-8"?>
<formControlPr xmlns="http://schemas.microsoft.com/office/spreadsheetml/2009/9/main" objectType="CheckBox" fmlaLink="$N$4" lockText="1"/>
</file>

<file path=xl/ctrlProps/ctrlProp485.xml><?xml version="1.0" encoding="utf-8"?>
<formControlPr xmlns="http://schemas.microsoft.com/office/spreadsheetml/2009/9/main" objectType="CheckBox" checked="Checked" fmlaLink="$E$4" lockText="1"/>
</file>

<file path=xl/ctrlProps/ctrlProp486.xml><?xml version="1.0" encoding="utf-8"?>
<formControlPr xmlns="http://schemas.microsoft.com/office/spreadsheetml/2009/9/main" objectType="CheckBox" checked="Checked" fmlaLink="$D$4" lockText="1"/>
</file>

<file path=xl/ctrlProps/ctrlProp487.xml><?xml version="1.0" encoding="utf-8"?>
<formControlPr xmlns="http://schemas.microsoft.com/office/spreadsheetml/2009/9/main" objectType="CheckBox" fmlaLink="$O$4" lockText="1"/>
</file>

<file path=xl/ctrlProps/ctrlProp488.xml><?xml version="1.0" encoding="utf-8"?>
<formControlPr xmlns="http://schemas.microsoft.com/office/spreadsheetml/2009/9/main" objectType="CheckBox" checked="Checked" fmlaLink="$E$4" lockText="1"/>
</file>

<file path=xl/ctrlProps/ctrlProp489.xml><?xml version="1.0" encoding="utf-8"?>
<formControlPr xmlns="http://schemas.microsoft.com/office/spreadsheetml/2009/9/main" objectType="CheckBox" checked="Checked" fmlaLink="$D$4" lockText="1"/>
</file>

<file path=xl/ctrlProps/ctrlProp490.xml><?xml version="1.0" encoding="utf-8"?>
<formControlPr xmlns="http://schemas.microsoft.com/office/spreadsheetml/2009/9/main" objectType="CheckBox" fmlaLink="$P$4" lockText="1"/>
</file>

<file path=xl/ctrlProps/ctrlProp491.xml><?xml version="1.0" encoding="utf-8"?>
<formControlPr xmlns="http://schemas.microsoft.com/office/spreadsheetml/2009/9/main" objectType="CheckBox" checked="Checked" fmlaLink="$E$4" lockText="1"/>
</file>

<file path=xl/ctrlProps/ctrlProp492.xml><?xml version="1.0" encoding="utf-8"?>
<formControlPr xmlns="http://schemas.microsoft.com/office/spreadsheetml/2009/9/main" objectType="CheckBox" fmlaLink="$Q$4" lockText="1"/>
</file>

<file path=xl/ctrlProps/ctrlProp493.xml><?xml version="1.0" encoding="utf-8"?>
<formControlPr xmlns="http://schemas.microsoft.com/office/spreadsheetml/2009/9/main" objectType="CheckBox" checked="Checked" fmlaLink="$D$4" lockText="1"/>
</file>

<file path=xl/ctrlProps/ctrlProp494.xml><?xml version="1.0" encoding="utf-8"?>
<formControlPr xmlns="http://schemas.microsoft.com/office/spreadsheetml/2009/9/main" objectType="CheckBox" checked="Checked" fmlaLink="$D$4" lockText="1" noThreeD="1"/>
</file>

<file path=xl/ctrlProps/ctrlProp495.xml><?xml version="1.0" encoding="utf-8"?>
<formControlPr xmlns="http://schemas.microsoft.com/office/spreadsheetml/2009/9/main" objectType="CheckBox" checked="Checked" fmlaLink="$D$4" lockText="1" noThreeD="1"/>
</file>

<file path=xl/ctrlProps/ctrlProp496.xml><?xml version="1.0" encoding="utf-8"?>
<formControlPr xmlns="http://schemas.microsoft.com/office/spreadsheetml/2009/9/main" objectType="CheckBox" checked="Checked" fmlaLink="$E$4" lockText="1"/>
</file>

<file path=xl/ctrlProps/ctrlProp497.xml><?xml version="1.0" encoding="utf-8"?>
<formControlPr xmlns="http://schemas.microsoft.com/office/spreadsheetml/2009/9/main" objectType="CheckBox" checked="Checked" fmlaLink="$D$4" lockText="1"/>
</file>

<file path=xl/ctrlProps/ctrlProp498.xml><?xml version="1.0" encoding="utf-8"?>
<formControlPr xmlns="http://schemas.microsoft.com/office/spreadsheetml/2009/9/main" objectType="CheckBox" fmlaLink="$Q$4" lockText="1"/>
</file>

<file path=xl/ctrlProps/ctrlProp499.xml><?xml version="1.0" encoding="utf-8"?>
<formControlPr xmlns="http://schemas.microsoft.com/office/spreadsheetml/2009/9/main" objectType="CheckBox" checked="Checked" fmlaLink="$E$4" lockText="1"/>
</file>

<file path=xl/ctrlProps/ctrlProp500.xml><?xml version="1.0" encoding="utf-8"?>
<formControlPr xmlns="http://schemas.microsoft.com/office/spreadsheetml/2009/9/main" objectType="CheckBox" fmlaLink="$R$4" lockText="1"/>
</file>

<file path=xl/ctrlProps/ctrlProp501.xml><?xml version="1.0" encoding="utf-8"?>
<formControlPr xmlns="http://schemas.microsoft.com/office/spreadsheetml/2009/9/main" objectType="CheckBox" checked="Checked" fmlaLink="$D$4" lockText="1" noThreeD="1"/>
</file>

<file path=xl/ctrlProps/ctrlProp502.xml><?xml version="1.0" encoding="utf-8"?>
<formControlPr xmlns="http://schemas.microsoft.com/office/spreadsheetml/2009/9/main" objectType="CheckBox" checked="Checked" fmlaLink="$E$4" lockText="1"/>
</file>

<file path=xl/ctrlProps/ctrlProp503.xml><?xml version="1.0" encoding="utf-8"?>
<formControlPr xmlns="http://schemas.microsoft.com/office/spreadsheetml/2009/9/main" objectType="CheckBox" checked="Checked" fmlaLink="$D$4" lockText="1"/>
</file>

<file path=xl/ctrlProps/ctrlProp504.xml><?xml version="1.0" encoding="utf-8"?>
<formControlPr xmlns="http://schemas.microsoft.com/office/spreadsheetml/2009/9/main" objectType="CheckBox" fmlaLink="$J$4" lockText="1"/>
</file>

<file path=xl/ctrlProps/ctrlProp505.xml><?xml version="1.0" encoding="utf-8"?>
<formControlPr xmlns="http://schemas.microsoft.com/office/spreadsheetml/2009/9/main" objectType="CheckBox" checked="Checked" fmlaLink="$E$4" lockText="1"/>
</file>

<file path=xl/ctrlProps/ctrlProp506.xml><?xml version="1.0" encoding="utf-8"?>
<formControlPr xmlns="http://schemas.microsoft.com/office/spreadsheetml/2009/9/main" objectType="CheckBox" fmlaLink="$K$2" lockText="1" noThreeD="1"/>
</file>

<file path=xl/ctrlProps/ctrlProp507.xml><?xml version="1.0" encoding="utf-8"?>
<formControlPr xmlns="http://schemas.microsoft.com/office/spreadsheetml/2009/9/main" objectType="CheckBox" checked="Checked" fmlaLink="$D$4" lockText="1" noThreeD="1"/>
</file>

<file path=xl/ctrlProps/ctrlProp508.xml><?xml version="1.0" encoding="utf-8"?>
<formControlPr xmlns="http://schemas.microsoft.com/office/spreadsheetml/2009/9/main" objectType="CheckBox" checked="Checked" fmlaLink="$D$4" lockText="1" noThreeD="1"/>
</file>

<file path=xl/ctrlProps/ctrlProp509.xml><?xml version="1.0" encoding="utf-8"?>
<formControlPr xmlns="http://schemas.microsoft.com/office/spreadsheetml/2009/9/main" objectType="CheckBox" checked="Checked" fmlaLink="$D$4" lockText="1" noThreeD="1"/>
</file>

<file path=xl/ctrlProps/ctrlProp510.xml><?xml version="1.0" encoding="utf-8"?>
<formControlPr xmlns="http://schemas.microsoft.com/office/spreadsheetml/2009/9/main" objectType="CheckBox" checked="Checked" fmlaLink="$D$4" lockText="1" noThreeD="1"/>
</file>

<file path=xl/ctrlProps/ctrlProp511.xml><?xml version="1.0" encoding="utf-8"?>
<formControlPr xmlns="http://schemas.microsoft.com/office/spreadsheetml/2009/9/main" objectType="CheckBox" checked="Checked" fmlaLink="$D$4" lockText="1" noThreeD="1"/>
</file>

<file path=xl/ctrlProps/ctrlProp512.xml><?xml version="1.0" encoding="utf-8"?>
<formControlPr xmlns="http://schemas.microsoft.com/office/spreadsheetml/2009/9/main" objectType="CheckBox" checked="Checked" fmlaLink="$D$4" lockText="1" noThreeD="1"/>
</file>

<file path=xl/ctrlProps/ctrlProp513.xml><?xml version="1.0" encoding="utf-8"?>
<formControlPr xmlns="http://schemas.microsoft.com/office/spreadsheetml/2009/9/main" objectType="CheckBox" checked="Checked" fmlaLink="$D$4" lockText="1" noThreeD="1"/>
</file>

<file path=xl/ctrlProps/ctrlProp514.xml><?xml version="1.0" encoding="utf-8"?>
<formControlPr xmlns="http://schemas.microsoft.com/office/spreadsheetml/2009/9/main" objectType="CheckBox" checked="Checked" fmlaLink="$D$4" lockText="1" noThreeD="1"/>
</file>

<file path=xl/ctrlProps/ctrlProp515.xml><?xml version="1.0" encoding="utf-8"?>
<formControlPr xmlns="http://schemas.microsoft.com/office/spreadsheetml/2009/9/main" objectType="CheckBox" checked="Checked" fmlaLink="$D$4" lockText="1" noThreeD="1"/>
</file>

<file path=xl/ctrlProps/ctrlProp516.xml><?xml version="1.0" encoding="utf-8"?>
<formControlPr xmlns="http://schemas.microsoft.com/office/spreadsheetml/2009/9/main" objectType="CheckBox" checked="Checked" fmlaLink="$D$4" lockText="1" noThreeD="1"/>
</file>

<file path=xl/ctrlProps/ctrlProp517.xml><?xml version="1.0" encoding="utf-8"?>
<formControlPr xmlns="http://schemas.microsoft.com/office/spreadsheetml/2009/9/main" objectType="CheckBox" checked="Checked" fmlaLink="$E$4" lockText="1"/>
</file>

<file path=xl/ctrlProps/ctrlProp518.xml><?xml version="1.0" encoding="utf-8"?>
<formControlPr xmlns="http://schemas.microsoft.com/office/spreadsheetml/2009/9/main" objectType="CheckBox" checked="Checked" fmlaLink="$E$4" lockText="1"/>
</file>

<file path=xl/ctrlProps/ctrlProp519.xml><?xml version="1.0" encoding="utf-8"?>
<formControlPr xmlns="http://schemas.microsoft.com/office/spreadsheetml/2009/9/main" objectType="CheckBox" checked="Checked" fmlaLink="$F$4" lockText="1"/>
</file>

<file path=xl/ctrlProps/ctrlProp520.xml><?xml version="1.0" encoding="utf-8"?>
<formControlPr xmlns="http://schemas.microsoft.com/office/spreadsheetml/2009/9/main" objectType="CheckBox" checked="Checked" fmlaLink="$E$4" lockText="1"/>
</file>

<file path=xl/ctrlProps/ctrlProp521.xml><?xml version="1.0" encoding="utf-8"?>
<formControlPr xmlns="http://schemas.microsoft.com/office/spreadsheetml/2009/9/main" objectType="CheckBox" checked="Checked" fmlaLink="$D$4" lockText="1"/>
</file>

<file path=xl/ctrlProps/ctrlProp522.xml><?xml version="1.0" encoding="utf-8"?>
<formControlPr xmlns="http://schemas.microsoft.com/office/spreadsheetml/2009/9/main" objectType="CheckBox" checked="Checked" fmlaLink="$G$4" lockText="1"/>
</file>

<file path=xl/ctrlProps/ctrlProp523.xml><?xml version="1.0" encoding="utf-8"?>
<formControlPr xmlns="http://schemas.microsoft.com/office/spreadsheetml/2009/9/main" objectType="CheckBox" checked="Checked" fmlaLink="$E$4" lockText="1"/>
</file>

<file path=xl/ctrlProps/ctrlProp524.xml><?xml version="1.0" encoding="utf-8"?>
<formControlPr xmlns="http://schemas.microsoft.com/office/spreadsheetml/2009/9/main" objectType="CheckBox" checked="Checked" fmlaLink="$D$4" lockText="1"/>
</file>

<file path=xl/ctrlProps/ctrlProp525.xml><?xml version="1.0" encoding="utf-8"?>
<formControlPr xmlns="http://schemas.microsoft.com/office/spreadsheetml/2009/9/main" objectType="CheckBox" fmlaLink="$H$4" lockText="1"/>
</file>

<file path=xl/ctrlProps/ctrlProp526.xml><?xml version="1.0" encoding="utf-8"?>
<formControlPr xmlns="http://schemas.microsoft.com/office/spreadsheetml/2009/9/main" objectType="CheckBox" checked="Checked" fmlaLink="$E$4" lockText="1"/>
</file>

<file path=xl/ctrlProps/ctrlProp527.xml><?xml version="1.0" encoding="utf-8"?>
<formControlPr xmlns="http://schemas.microsoft.com/office/spreadsheetml/2009/9/main" objectType="CheckBox" checked="Checked" fmlaLink="$D$4" lockText="1"/>
</file>

<file path=xl/ctrlProps/ctrlProp528.xml><?xml version="1.0" encoding="utf-8"?>
<formControlPr xmlns="http://schemas.microsoft.com/office/spreadsheetml/2009/9/main" objectType="CheckBox" fmlaLink="$I$4" lockText="1"/>
</file>

<file path=xl/ctrlProps/ctrlProp529.xml><?xml version="1.0" encoding="utf-8"?>
<formControlPr xmlns="http://schemas.microsoft.com/office/spreadsheetml/2009/9/main" objectType="CheckBox" checked="Checked" fmlaLink="$E$4" lockText="1"/>
</file>

<file path=xl/ctrlProps/ctrlProp530.xml><?xml version="1.0" encoding="utf-8"?>
<formControlPr xmlns="http://schemas.microsoft.com/office/spreadsheetml/2009/9/main" objectType="CheckBox" checked="Checked" fmlaLink="$D$4" lockText="1"/>
</file>

<file path=xl/ctrlProps/ctrlProp531.xml><?xml version="1.0" encoding="utf-8"?>
<formControlPr xmlns="http://schemas.microsoft.com/office/spreadsheetml/2009/9/main" objectType="CheckBox" fmlaLink="$K$4" lockText="1"/>
</file>

<file path=xl/ctrlProps/ctrlProp532.xml><?xml version="1.0" encoding="utf-8"?>
<formControlPr xmlns="http://schemas.microsoft.com/office/spreadsheetml/2009/9/main" objectType="CheckBox" checked="Checked" fmlaLink="$E$4" lockText="1"/>
</file>

<file path=xl/ctrlProps/ctrlProp533.xml><?xml version="1.0" encoding="utf-8"?>
<formControlPr xmlns="http://schemas.microsoft.com/office/spreadsheetml/2009/9/main" objectType="CheckBox" checked="Checked" fmlaLink="$D$4" lockText="1"/>
</file>

<file path=xl/ctrlProps/ctrlProp534.xml><?xml version="1.0" encoding="utf-8"?>
<formControlPr xmlns="http://schemas.microsoft.com/office/spreadsheetml/2009/9/main" objectType="CheckBox" fmlaLink="$L$4" lockText="1"/>
</file>

<file path=xl/ctrlProps/ctrlProp535.xml><?xml version="1.0" encoding="utf-8"?>
<formControlPr xmlns="http://schemas.microsoft.com/office/spreadsheetml/2009/9/main" objectType="CheckBox" checked="Checked" fmlaLink="$E$4" lockText="1"/>
</file>

<file path=xl/ctrlProps/ctrlProp536.xml><?xml version="1.0" encoding="utf-8"?>
<formControlPr xmlns="http://schemas.microsoft.com/office/spreadsheetml/2009/9/main" objectType="CheckBox" checked="Checked" fmlaLink="$D$4" lockText="1"/>
</file>

<file path=xl/ctrlProps/ctrlProp537.xml><?xml version="1.0" encoding="utf-8"?>
<formControlPr xmlns="http://schemas.microsoft.com/office/spreadsheetml/2009/9/main" objectType="CheckBox" fmlaLink="$M$4" lockText="1"/>
</file>

<file path=xl/ctrlProps/ctrlProp538.xml><?xml version="1.0" encoding="utf-8"?>
<formControlPr xmlns="http://schemas.microsoft.com/office/spreadsheetml/2009/9/main" objectType="CheckBox" checked="Checked" fmlaLink="$E$4" lockText="1"/>
</file>

<file path=xl/ctrlProps/ctrlProp539.xml><?xml version="1.0" encoding="utf-8"?>
<formControlPr xmlns="http://schemas.microsoft.com/office/spreadsheetml/2009/9/main" objectType="CheckBox" checked="Checked" fmlaLink="$D$4" lockText="1"/>
</file>

<file path=xl/ctrlProps/ctrlProp540.xml><?xml version="1.0" encoding="utf-8"?>
<formControlPr xmlns="http://schemas.microsoft.com/office/spreadsheetml/2009/9/main" objectType="CheckBox" fmlaLink="$N$4" lockText="1"/>
</file>

<file path=xl/ctrlProps/ctrlProp541.xml><?xml version="1.0" encoding="utf-8"?>
<formControlPr xmlns="http://schemas.microsoft.com/office/spreadsheetml/2009/9/main" objectType="CheckBox" checked="Checked" fmlaLink="$E$4" lockText="1"/>
</file>

<file path=xl/ctrlProps/ctrlProp542.xml><?xml version="1.0" encoding="utf-8"?>
<formControlPr xmlns="http://schemas.microsoft.com/office/spreadsheetml/2009/9/main" objectType="CheckBox" checked="Checked" fmlaLink="$D$4" lockText="1"/>
</file>

<file path=xl/ctrlProps/ctrlProp543.xml><?xml version="1.0" encoding="utf-8"?>
<formControlPr xmlns="http://schemas.microsoft.com/office/spreadsheetml/2009/9/main" objectType="CheckBox" fmlaLink="$O$4" lockText="1"/>
</file>

<file path=xl/ctrlProps/ctrlProp544.xml><?xml version="1.0" encoding="utf-8"?>
<formControlPr xmlns="http://schemas.microsoft.com/office/spreadsheetml/2009/9/main" objectType="CheckBox" checked="Checked" fmlaLink="$E$4" lockText="1"/>
</file>

<file path=xl/ctrlProps/ctrlProp545.xml><?xml version="1.0" encoding="utf-8"?>
<formControlPr xmlns="http://schemas.microsoft.com/office/spreadsheetml/2009/9/main" objectType="CheckBox" checked="Checked" fmlaLink="$D$4" lockText="1"/>
</file>

<file path=xl/ctrlProps/ctrlProp546.xml><?xml version="1.0" encoding="utf-8"?>
<formControlPr xmlns="http://schemas.microsoft.com/office/spreadsheetml/2009/9/main" objectType="CheckBox" fmlaLink="$P$4" lockText="1"/>
</file>

<file path=xl/ctrlProps/ctrlProp547.xml><?xml version="1.0" encoding="utf-8"?>
<formControlPr xmlns="http://schemas.microsoft.com/office/spreadsheetml/2009/9/main" objectType="CheckBox" checked="Checked" fmlaLink="$E$4" lockText="1"/>
</file>

<file path=xl/ctrlProps/ctrlProp548.xml><?xml version="1.0" encoding="utf-8"?>
<formControlPr xmlns="http://schemas.microsoft.com/office/spreadsheetml/2009/9/main" objectType="CheckBox" fmlaLink="$Q$4" lockText="1"/>
</file>

<file path=xl/ctrlProps/ctrlProp549.xml><?xml version="1.0" encoding="utf-8"?>
<formControlPr xmlns="http://schemas.microsoft.com/office/spreadsheetml/2009/9/main" objectType="CheckBox" checked="Checked" fmlaLink="$D$4" lockText="1"/>
</file>

<file path=xl/ctrlProps/ctrlProp550.xml><?xml version="1.0" encoding="utf-8"?>
<formControlPr xmlns="http://schemas.microsoft.com/office/spreadsheetml/2009/9/main" objectType="CheckBox" checked="Checked" fmlaLink="$D$4" lockText="1" noThreeD="1"/>
</file>

<file path=xl/ctrlProps/ctrlProp551.xml><?xml version="1.0" encoding="utf-8"?>
<formControlPr xmlns="http://schemas.microsoft.com/office/spreadsheetml/2009/9/main" objectType="CheckBox" checked="Checked" fmlaLink="$D$4" lockText="1" noThreeD="1"/>
</file>

<file path=xl/ctrlProps/ctrlProp552.xml><?xml version="1.0" encoding="utf-8"?>
<formControlPr xmlns="http://schemas.microsoft.com/office/spreadsheetml/2009/9/main" objectType="CheckBox" checked="Checked" fmlaLink="$E$4" lockText="1"/>
</file>

<file path=xl/ctrlProps/ctrlProp553.xml><?xml version="1.0" encoding="utf-8"?>
<formControlPr xmlns="http://schemas.microsoft.com/office/spreadsheetml/2009/9/main" objectType="CheckBox" checked="Checked" fmlaLink="$D$4" lockText="1"/>
</file>

<file path=xl/ctrlProps/ctrlProp554.xml><?xml version="1.0" encoding="utf-8"?>
<formControlPr xmlns="http://schemas.microsoft.com/office/spreadsheetml/2009/9/main" objectType="CheckBox" fmlaLink="$Q$4" lockText="1"/>
</file>

<file path=xl/ctrlProps/ctrlProp555.xml><?xml version="1.0" encoding="utf-8"?>
<formControlPr xmlns="http://schemas.microsoft.com/office/spreadsheetml/2009/9/main" objectType="CheckBox" checked="Checked" fmlaLink="$E$4" lockText="1"/>
</file>

<file path=xl/ctrlProps/ctrlProp556.xml><?xml version="1.0" encoding="utf-8"?>
<formControlPr xmlns="http://schemas.microsoft.com/office/spreadsheetml/2009/9/main" objectType="CheckBox" fmlaLink="$R$4" lockText="1"/>
</file>

<file path=xl/ctrlProps/ctrlProp557.xml><?xml version="1.0" encoding="utf-8"?>
<formControlPr xmlns="http://schemas.microsoft.com/office/spreadsheetml/2009/9/main" objectType="CheckBox" checked="Checked" fmlaLink="$D$4" lockText="1" noThreeD="1"/>
</file>

<file path=xl/ctrlProps/ctrlProp558.xml><?xml version="1.0" encoding="utf-8"?>
<formControlPr xmlns="http://schemas.microsoft.com/office/spreadsheetml/2009/9/main" objectType="CheckBox" checked="Checked" fmlaLink="$E$4" lockText="1"/>
</file>

<file path=xl/ctrlProps/ctrlProp559.xml><?xml version="1.0" encoding="utf-8"?>
<formControlPr xmlns="http://schemas.microsoft.com/office/spreadsheetml/2009/9/main" objectType="CheckBox" checked="Checked" fmlaLink="$D$4" lockText="1"/>
</file>

<file path=xl/ctrlProps/ctrlProp560.xml><?xml version="1.0" encoding="utf-8"?>
<formControlPr xmlns="http://schemas.microsoft.com/office/spreadsheetml/2009/9/main" objectType="CheckBox" fmlaLink="$J$4" lockText="1"/>
</file>

<file path=xl/ctrlProps/ctrlProp561.xml><?xml version="1.0" encoding="utf-8"?>
<formControlPr xmlns="http://schemas.microsoft.com/office/spreadsheetml/2009/9/main" objectType="CheckBox" checked="Checked" fmlaLink="$E$4" lockText="1"/>
</file>

<file path=xl/ctrlProps/ctrlProp562.xml><?xml version="1.0" encoding="utf-8"?>
<formControlPr xmlns="http://schemas.microsoft.com/office/spreadsheetml/2009/9/main" objectType="CheckBox" fmlaLink="$K$2" lockText="1" noThreeD="1"/>
</file>

<file path=xl/ctrlProps/ctrlProp563.xml><?xml version="1.0" encoding="utf-8"?>
<formControlPr xmlns="http://schemas.microsoft.com/office/spreadsheetml/2009/9/main" objectType="CheckBox" checked="Checked" fmlaLink="$D$4" lockText="1" noThreeD="1"/>
</file>

<file path=xl/ctrlProps/ctrlProp564.xml><?xml version="1.0" encoding="utf-8"?>
<formControlPr xmlns="http://schemas.microsoft.com/office/spreadsheetml/2009/9/main" objectType="CheckBox" checked="Checked" fmlaLink="$D$4" lockText="1" noThreeD="1"/>
</file>

<file path=xl/ctrlProps/ctrlProp565.xml><?xml version="1.0" encoding="utf-8"?>
<formControlPr xmlns="http://schemas.microsoft.com/office/spreadsheetml/2009/9/main" objectType="CheckBox" checked="Checked" fmlaLink="$D$4" lockText="1" noThreeD="1"/>
</file>

<file path=xl/ctrlProps/ctrlProp566.xml><?xml version="1.0" encoding="utf-8"?>
<formControlPr xmlns="http://schemas.microsoft.com/office/spreadsheetml/2009/9/main" objectType="CheckBox" checked="Checked" fmlaLink="$D$4" lockText="1" noThreeD="1"/>
</file>

<file path=xl/ctrlProps/ctrlProp567.xml><?xml version="1.0" encoding="utf-8"?>
<formControlPr xmlns="http://schemas.microsoft.com/office/spreadsheetml/2009/9/main" objectType="CheckBox" checked="Checked" fmlaLink="$D$4" lockText="1" noThreeD="1"/>
</file>

<file path=xl/ctrlProps/ctrlProp568.xml><?xml version="1.0" encoding="utf-8"?>
<formControlPr xmlns="http://schemas.microsoft.com/office/spreadsheetml/2009/9/main" objectType="CheckBox" checked="Checked" fmlaLink="$D$4" lockText="1" noThreeD="1"/>
</file>

<file path=xl/ctrlProps/ctrlProp569.xml><?xml version="1.0" encoding="utf-8"?>
<formControlPr xmlns="http://schemas.microsoft.com/office/spreadsheetml/2009/9/main" objectType="CheckBox" checked="Checked" fmlaLink="$D$4" lockText="1" noThreeD="1"/>
</file>

<file path=xl/ctrlProps/ctrlProp570.xml><?xml version="1.0" encoding="utf-8"?>
<formControlPr xmlns="http://schemas.microsoft.com/office/spreadsheetml/2009/9/main" objectType="CheckBox" checked="Checked" fmlaLink="$D$4" lockText="1" noThreeD="1"/>
</file>

<file path=xl/ctrlProps/ctrlProp571.xml><?xml version="1.0" encoding="utf-8"?>
<formControlPr xmlns="http://schemas.microsoft.com/office/spreadsheetml/2009/9/main" objectType="CheckBox" checked="Checked" fmlaLink="$D$4" lockText="1" noThreeD="1"/>
</file>

<file path=xl/ctrlProps/ctrlProp572.xml><?xml version="1.0" encoding="utf-8"?>
<formControlPr xmlns="http://schemas.microsoft.com/office/spreadsheetml/2009/9/main" objectType="CheckBox" checked="Checked" fmlaLink="$D$4" lockText="1" noThreeD="1"/>
</file>

<file path=xl/ctrlProps/ctrlProp573.xml><?xml version="1.0" encoding="utf-8"?>
<formControlPr xmlns="http://schemas.microsoft.com/office/spreadsheetml/2009/9/main" objectType="CheckBox" checked="Checked" fmlaLink="$E$4" lockText="1"/>
</file>

<file path=xl/ctrlProps/ctrlProp574.xml><?xml version="1.0" encoding="utf-8"?>
<formControlPr xmlns="http://schemas.microsoft.com/office/spreadsheetml/2009/9/main" objectType="CheckBox" checked="Checked" fmlaLink="$E$4" lockText="1"/>
</file>

<file path=xl/ctrlProps/ctrlProp575.xml><?xml version="1.0" encoding="utf-8"?>
<formControlPr xmlns="http://schemas.microsoft.com/office/spreadsheetml/2009/9/main" objectType="CheckBox" checked="Checked" fmlaLink="$F$4" lockText="1"/>
</file>

<file path=xl/ctrlProps/ctrlProp576.xml><?xml version="1.0" encoding="utf-8"?>
<formControlPr xmlns="http://schemas.microsoft.com/office/spreadsheetml/2009/9/main" objectType="CheckBox" checked="Checked" fmlaLink="$E$4" lockText="1"/>
</file>

<file path=xl/ctrlProps/ctrlProp577.xml><?xml version="1.0" encoding="utf-8"?>
<formControlPr xmlns="http://schemas.microsoft.com/office/spreadsheetml/2009/9/main" objectType="CheckBox" checked="Checked" fmlaLink="$D$4" lockText="1"/>
</file>

<file path=xl/ctrlProps/ctrlProp578.xml><?xml version="1.0" encoding="utf-8"?>
<formControlPr xmlns="http://schemas.microsoft.com/office/spreadsheetml/2009/9/main" objectType="CheckBox" checked="Checked" fmlaLink="$G$4" lockText="1"/>
</file>

<file path=xl/ctrlProps/ctrlProp579.xml><?xml version="1.0" encoding="utf-8"?>
<formControlPr xmlns="http://schemas.microsoft.com/office/spreadsheetml/2009/9/main" objectType="CheckBox" checked="Checked" fmlaLink="$E$4" lockText="1"/>
</file>

<file path=xl/ctrlProps/ctrlProp580.xml><?xml version="1.0" encoding="utf-8"?>
<formControlPr xmlns="http://schemas.microsoft.com/office/spreadsheetml/2009/9/main" objectType="CheckBox" checked="Checked" fmlaLink="$D$4" lockText="1"/>
</file>

<file path=xl/ctrlProps/ctrlProp581.xml><?xml version="1.0" encoding="utf-8"?>
<formControlPr xmlns="http://schemas.microsoft.com/office/spreadsheetml/2009/9/main" objectType="CheckBox" fmlaLink="$H$4" lockText="1"/>
</file>

<file path=xl/ctrlProps/ctrlProp582.xml><?xml version="1.0" encoding="utf-8"?>
<formControlPr xmlns="http://schemas.microsoft.com/office/spreadsheetml/2009/9/main" objectType="CheckBox" checked="Checked" fmlaLink="$E$4" lockText="1"/>
</file>

<file path=xl/ctrlProps/ctrlProp583.xml><?xml version="1.0" encoding="utf-8"?>
<formControlPr xmlns="http://schemas.microsoft.com/office/spreadsheetml/2009/9/main" objectType="CheckBox" checked="Checked" fmlaLink="$D$4" lockText="1"/>
</file>

<file path=xl/ctrlProps/ctrlProp584.xml><?xml version="1.0" encoding="utf-8"?>
<formControlPr xmlns="http://schemas.microsoft.com/office/spreadsheetml/2009/9/main" objectType="CheckBox" fmlaLink="$I$4" lockText="1"/>
</file>

<file path=xl/ctrlProps/ctrlProp585.xml><?xml version="1.0" encoding="utf-8"?>
<formControlPr xmlns="http://schemas.microsoft.com/office/spreadsheetml/2009/9/main" objectType="CheckBox" checked="Checked" fmlaLink="$E$4" lockText="1"/>
</file>

<file path=xl/ctrlProps/ctrlProp586.xml><?xml version="1.0" encoding="utf-8"?>
<formControlPr xmlns="http://schemas.microsoft.com/office/spreadsheetml/2009/9/main" objectType="CheckBox" checked="Checked" fmlaLink="$D$4" lockText="1"/>
</file>

<file path=xl/ctrlProps/ctrlProp587.xml><?xml version="1.0" encoding="utf-8"?>
<formControlPr xmlns="http://schemas.microsoft.com/office/spreadsheetml/2009/9/main" objectType="CheckBox" fmlaLink="$K$4" lockText="1"/>
</file>

<file path=xl/ctrlProps/ctrlProp588.xml><?xml version="1.0" encoding="utf-8"?>
<formControlPr xmlns="http://schemas.microsoft.com/office/spreadsheetml/2009/9/main" objectType="CheckBox" checked="Checked" fmlaLink="$E$4" lockText="1"/>
</file>

<file path=xl/ctrlProps/ctrlProp589.xml><?xml version="1.0" encoding="utf-8"?>
<formControlPr xmlns="http://schemas.microsoft.com/office/spreadsheetml/2009/9/main" objectType="CheckBox" checked="Checked" fmlaLink="$D$4" lockText="1"/>
</file>

<file path=xl/ctrlProps/ctrlProp590.xml><?xml version="1.0" encoding="utf-8"?>
<formControlPr xmlns="http://schemas.microsoft.com/office/spreadsheetml/2009/9/main" objectType="CheckBox" fmlaLink="$L$4" lockText="1"/>
</file>

<file path=xl/ctrlProps/ctrlProp591.xml><?xml version="1.0" encoding="utf-8"?>
<formControlPr xmlns="http://schemas.microsoft.com/office/spreadsheetml/2009/9/main" objectType="CheckBox" checked="Checked" fmlaLink="$E$4" lockText="1"/>
</file>

<file path=xl/ctrlProps/ctrlProp592.xml><?xml version="1.0" encoding="utf-8"?>
<formControlPr xmlns="http://schemas.microsoft.com/office/spreadsheetml/2009/9/main" objectType="CheckBox" checked="Checked" fmlaLink="$D$4" lockText="1"/>
</file>

<file path=xl/ctrlProps/ctrlProp593.xml><?xml version="1.0" encoding="utf-8"?>
<formControlPr xmlns="http://schemas.microsoft.com/office/spreadsheetml/2009/9/main" objectType="CheckBox" fmlaLink="$M$4" lockText="1"/>
</file>

<file path=xl/ctrlProps/ctrlProp594.xml><?xml version="1.0" encoding="utf-8"?>
<formControlPr xmlns="http://schemas.microsoft.com/office/spreadsheetml/2009/9/main" objectType="CheckBox" checked="Checked" fmlaLink="$E$4" lockText="1"/>
</file>

<file path=xl/ctrlProps/ctrlProp595.xml><?xml version="1.0" encoding="utf-8"?>
<formControlPr xmlns="http://schemas.microsoft.com/office/spreadsheetml/2009/9/main" objectType="CheckBox" checked="Checked" fmlaLink="$D$4" lockText="1"/>
</file>

<file path=xl/ctrlProps/ctrlProp596.xml><?xml version="1.0" encoding="utf-8"?>
<formControlPr xmlns="http://schemas.microsoft.com/office/spreadsheetml/2009/9/main" objectType="CheckBox" fmlaLink="$N$4" lockText="1"/>
</file>

<file path=xl/ctrlProps/ctrlProp597.xml><?xml version="1.0" encoding="utf-8"?>
<formControlPr xmlns="http://schemas.microsoft.com/office/spreadsheetml/2009/9/main" objectType="CheckBox" checked="Checked" fmlaLink="$E$4" lockText="1"/>
</file>

<file path=xl/ctrlProps/ctrlProp598.xml><?xml version="1.0" encoding="utf-8"?>
<formControlPr xmlns="http://schemas.microsoft.com/office/spreadsheetml/2009/9/main" objectType="CheckBox" checked="Checked" fmlaLink="$D$4" lockText="1"/>
</file>

<file path=xl/ctrlProps/ctrlProp599.xml><?xml version="1.0" encoding="utf-8"?>
<formControlPr xmlns="http://schemas.microsoft.com/office/spreadsheetml/2009/9/main" objectType="CheckBox" fmlaLink="$O$4" lockText="1"/>
</file>

<file path=xl/ctrlProps/ctrlProp600.xml><?xml version="1.0" encoding="utf-8"?>
<formControlPr xmlns="http://schemas.microsoft.com/office/spreadsheetml/2009/9/main" objectType="CheckBox" checked="Checked" fmlaLink="$E$4" lockText="1"/>
</file>

<file path=xl/ctrlProps/ctrlProp601.xml><?xml version="1.0" encoding="utf-8"?>
<formControlPr xmlns="http://schemas.microsoft.com/office/spreadsheetml/2009/9/main" objectType="CheckBox" checked="Checked" fmlaLink="$D$4" lockText="1"/>
</file>

<file path=xl/ctrlProps/ctrlProp602.xml><?xml version="1.0" encoding="utf-8"?>
<formControlPr xmlns="http://schemas.microsoft.com/office/spreadsheetml/2009/9/main" objectType="CheckBox" fmlaLink="$P$4" lockText="1"/>
</file>

<file path=xl/ctrlProps/ctrlProp603.xml><?xml version="1.0" encoding="utf-8"?>
<formControlPr xmlns="http://schemas.microsoft.com/office/spreadsheetml/2009/9/main" objectType="CheckBox" checked="Checked" fmlaLink="$E$4" lockText="1"/>
</file>

<file path=xl/ctrlProps/ctrlProp604.xml><?xml version="1.0" encoding="utf-8"?>
<formControlPr xmlns="http://schemas.microsoft.com/office/spreadsheetml/2009/9/main" objectType="CheckBox" fmlaLink="$Q$4" lockText="1"/>
</file>

<file path=xl/ctrlProps/ctrlProp605.xml><?xml version="1.0" encoding="utf-8"?>
<formControlPr xmlns="http://schemas.microsoft.com/office/spreadsheetml/2009/9/main" objectType="CheckBox" checked="Checked" fmlaLink="$D$4" lockText="1"/>
</file>

<file path=xl/ctrlProps/ctrlProp606.xml><?xml version="1.0" encoding="utf-8"?>
<formControlPr xmlns="http://schemas.microsoft.com/office/spreadsheetml/2009/9/main" objectType="CheckBox" checked="Checked" fmlaLink="$D$4" lockText="1" noThreeD="1"/>
</file>

<file path=xl/ctrlProps/ctrlProp607.xml><?xml version="1.0" encoding="utf-8"?>
<formControlPr xmlns="http://schemas.microsoft.com/office/spreadsheetml/2009/9/main" objectType="CheckBox" checked="Checked" fmlaLink="$D$4" lockText="1" noThreeD="1"/>
</file>

<file path=xl/ctrlProps/ctrlProp608.xml><?xml version="1.0" encoding="utf-8"?>
<formControlPr xmlns="http://schemas.microsoft.com/office/spreadsheetml/2009/9/main" objectType="CheckBox" checked="Checked" fmlaLink="$E$4" lockText="1"/>
</file>

<file path=xl/ctrlProps/ctrlProp609.xml><?xml version="1.0" encoding="utf-8"?>
<formControlPr xmlns="http://schemas.microsoft.com/office/spreadsheetml/2009/9/main" objectType="CheckBox" checked="Checked" fmlaLink="$D$4" lockText="1"/>
</file>

<file path=xl/ctrlProps/ctrlProp610.xml><?xml version="1.0" encoding="utf-8"?>
<formControlPr xmlns="http://schemas.microsoft.com/office/spreadsheetml/2009/9/main" objectType="CheckBox" fmlaLink="$Q$4" lockText="1"/>
</file>

<file path=xl/ctrlProps/ctrlProp611.xml><?xml version="1.0" encoding="utf-8"?>
<formControlPr xmlns="http://schemas.microsoft.com/office/spreadsheetml/2009/9/main" objectType="CheckBox" checked="Checked" fmlaLink="$E$4" lockText="1"/>
</file>

<file path=xl/ctrlProps/ctrlProp612.xml><?xml version="1.0" encoding="utf-8"?>
<formControlPr xmlns="http://schemas.microsoft.com/office/spreadsheetml/2009/9/main" objectType="CheckBox" fmlaLink="$R$4" lockText="1"/>
</file>

<file path=xl/ctrlProps/ctrlProp613.xml><?xml version="1.0" encoding="utf-8"?>
<formControlPr xmlns="http://schemas.microsoft.com/office/spreadsheetml/2009/9/main" objectType="CheckBox" checked="Checked" fmlaLink="$D$4" lockText="1" noThreeD="1"/>
</file>

<file path=xl/ctrlProps/ctrlProp614.xml><?xml version="1.0" encoding="utf-8"?>
<formControlPr xmlns="http://schemas.microsoft.com/office/spreadsheetml/2009/9/main" objectType="CheckBox" checked="Checked" fmlaLink="$E$4" lockText="1"/>
</file>

<file path=xl/ctrlProps/ctrlProp615.xml><?xml version="1.0" encoding="utf-8"?>
<formControlPr xmlns="http://schemas.microsoft.com/office/spreadsheetml/2009/9/main" objectType="CheckBox" checked="Checked" fmlaLink="$D$4" lockText="1"/>
</file>

<file path=xl/ctrlProps/ctrlProp616.xml><?xml version="1.0" encoding="utf-8"?>
<formControlPr xmlns="http://schemas.microsoft.com/office/spreadsheetml/2009/9/main" objectType="CheckBox" fmlaLink="$J$4" lockText="1"/>
</file>

<file path=xl/ctrlProps/ctrlProp617.xml><?xml version="1.0" encoding="utf-8"?>
<formControlPr xmlns="http://schemas.microsoft.com/office/spreadsheetml/2009/9/main" objectType="CheckBox" checked="Checked" fmlaLink="$E$4" lockText="1"/>
</file>

<file path=xl/ctrlProps/ctrlProp618.xml><?xml version="1.0" encoding="utf-8"?>
<formControlPr xmlns="http://schemas.microsoft.com/office/spreadsheetml/2009/9/main" objectType="CheckBox" fmlaLink="$K$2" lockText="1" noThreeD="1"/>
</file>

<file path=xl/ctrlProps/ctrlProp619.xml><?xml version="1.0" encoding="utf-8"?>
<formControlPr xmlns="http://schemas.microsoft.com/office/spreadsheetml/2009/9/main" objectType="CheckBox" checked="Checked" fmlaLink="$D$4" lockText="1" noThreeD="1"/>
</file>

<file path=xl/ctrlProps/ctrlProp620.xml><?xml version="1.0" encoding="utf-8"?>
<formControlPr xmlns="http://schemas.microsoft.com/office/spreadsheetml/2009/9/main" objectType="CheckBox" checked="Checked" fmlaLink="$D$4" lockText="1" noThreeD="1"/>
</file>

<file path=xl/ctrlProps/ctrlProp621.xml><?xml version="1.0" encoding="utf-8"?>
<formControlPr xmlns="http://schemas.microsoft.com/office/spreadsheetml/2009/9/main" objectType="CheckBox" checked="Checked" fmlaLink="$D$4" lockText="1" noThreeD="1"/>
</file>

<file path=xl/ctrlProps/ctrlProp622.xml><?xml version="1.0" encoding="utf-8"?>
<formControlPr xmlns="http://schemas.microsoft.com/office/spreadsheetml/2009/9/main" objectType="CheckBox" checked="Checked" fmlaLink="$D$4" lockText="1" noThreeD="1"/>
</file>

<file path=xl/ctrlProps/ctrlProp623.xml><?xml version="1.0" encoding="utf-8"?>
<formControlPr xmlns="http://schemas.microsoft.com/office/spreadsheetml/2009/9/main" objectType="CheckBox" checked="Checked" fmlaLink="$D$4" lockText="1" noThreeD="1"/>
</file>

<file path=xl/ctrlProps/ctrlProp624.xml><?xml version="1.0" encoding="utf-8"?>
<formControlPr xmlns="http://schemas.microsoft.com/office/spreadsheetml/2009/9/main" objectType="CheckBox" checked="Checked" fmlaLink="$D$4" lockText="1" noThreeD="1"/>
</file>

<file path=xl/ctrlProps/ctrlProp625.xml><?xml version="1.0" encoding="utf-8"?>
<formControlPr xmlns="http://schemas.microsoft.com/office/spreadsheetml/2009/9/main" objectType="CheckBox" checked="Checked" fmlaLink="$D$4" lockText="1" noThreeD="1"/>
</file>

<file path=xl/ctrlProps/ctrlProp626.xml><?xml version="1.0" encoding="utf-8"?>
<formControlPr xmlns="http://schemas.microsoft.com/office/spreadsheetml/2009/9/main" objectType="CheckBox" checked="Checked" fmlaLink="$D$4" lockText="1" noThreeD="1"/>
</file>

<file path=xl/ctrlProps/ctrlProp627.xml><?xml version="1.0" encoding="utf-8"?>
<formControlPr xmlns="http://schemas.microsoft.com/office/spreadsheetml/2009/9/main" objectType="CheckBox" checked="Checked" fmlaLink="$D$4" lockText="1" noThreeD="1"/>
</file>

<file path=xl/ctrlProps/ctrlProp628.xml><?xml version="1.0" encoding="utf-8"?>
<formControlPr xmlns="http://schemas.microsoft.com/office/spreadsheetml/2009/9/main" objectType="CheckBox" checked="Checked" fmlaLink="$D$4" lockText="1" noThreeD="1"/>
</file>

<file path=xl/ctrlProps/ctrlProp629.xml><?xml version="1.0" encoding="utf-8"?>
<formControlPr xmlns="http://schemas.microsoft.com/office/spreadsheetml/2009/9/main" objectType="CheckBox" checked="Checked" fmlaLink="$E$4" lockText="1"/>
</file>

<file path=xl/ctrlProps/ctrlProp630.xml><?xml version="1.0" encoding="utf-8"?>
<formControlPr xmlns="http://schemas.microsoft.com/office/spreadsheetml/2009/9/main" objectType="CheckBox" checked="Checked" fmlaLink="$E$4" lockText="1"/>
</file>

<file path=xl/ctrlProps/ctrlProp631.xml><?xml version="1.0" encoding="utf-8"?>
<formControlPr xmlns="http://schemas.microsoft.com/office/spreadsheetml/2009/9/main" objectType="CheckBox" checked="Checked" fmlaLink="$F$4" lockText="1"/>
</file>

<file path=xl/ctrlProps/ctrlProp632.xml><?xml version="1.0" encoding="utf-8"?>
<formControlPr xmlns="http://schemas.microsoft.com/office/spreadsheetml/2009/9/main" objectType="CheckBox" checked="Checked" fmlaLink="$E$4" lockText="1"/>
</file>

<file path=xl/ctrlProps/ctrlProp633.xml><?xml version="1.0" encoding="utf-8"?>
<formControlPr xmlns="http://schemas.microsoft.com/office/spreadsheetml/2009/9/main" objectType="CheckBox" checked="Checked" fmlaLink="$D$4" lockText="1"/>
</file>

<file path=xl/ctrlProps/ctrlProp634.xml><?xml version="1.0" encoding="utf-8"?>
<formControlPr xmlns="http://schemas.microsoft.com/office/spreadsheetml/2009/9/main" objectType="CheckBox" checked="Checked" fmlaLink="$G$4" lockText="1"/>
</file>

<file path=xl/ctrlProps/ctrlProp635.xml><?xml version="1.0" encoding="utf-8"?>
<formControlPr xmlns="http://schemas.microsoft.com/office/spreadsheetml/2009/9/main" objectType="CheckBox" checked="Checked" fmlaLink="$E$4" lockText="1"/>
</file>

<file path=xl/ctrlProps/ctrlProp636.xml><?xml version="1.0" encoding="utf-8"?>
<formControlPr xmlns="http://schemas.microsoft.com/office/spreadsheetml/2009/9/main" objectType="CheckBox" checked="Checked" fmlaLink="$D$4" lockText="1"/>
</file>

<file path=xl/ctrlProps/ctrlProp637.xml><?xml version="1.0" encoding="utf-8"?>
<formControlPr xmlns="http://schemas.microsoft.com/office/spreadsheetml/2009/9/main" objectType="CheckBox" checked="Checked" fmlaLink="$H$4" lockText="1"/>
</file>

<file path=xl/ctrlProps/ctrlProp638.xml><?xml version="1.0" encoding="utf-8"?>
<formControlPr xmlns="http://schemas.microsoft.com/office/spreadsheetml/2009/9/main" objectType="CheckBox" checked="Checked" fmlaLink="$E$4" lockText="1"/>
</file>

<file path=xl/ctrlProps/ctrlProp639.xml><?xml version="1.0" encoding="utf-8"?>
<formControlPr xmlns="http://schemas.microsoft.com/office/spreadsheetml/2009/9/main" objectType="CheckBox" checked="Checked" fmlaLink="$D$4" lockText="1"/>
</file>

<file path=xl/ctrlProps/ctrlProp640.xml><?xml version="1.0" encoding="utf-8"?>
<formControlPr xmlns="http://schemas.microsoft.com/office/spreadsheetml/2009/9/main" objectType="CheckBox" fmlaLink="$I$4" lockText="1"/>
</file>

<file path=xl/ctrlProps/ctrlProp641.xml><?xml version="1.0" encoding="utf-8"?>
<formControlPr xmlns="http://schemas.microsoft.com/office/spreadsheetml/2009/9/main" objectType="CheckBox" checked="Checked" fmlaLink="$E$4" lockText="1"/>
</file>

<file path=xl/ctrlProps/ctrlProp642.xml><?xml version="1.0" encoding="utf-8"?>
<formControlPr xmlns="http://schemas.microsoft.com/office/spreadsheetml/2009/9/main" objectType="CheckBox" checked="Checked" fmlaLink="$D$4" lockText="1"/>
</file>

<file path=xl/ctrlProps/ctrlProp643.xml><?xml version="1.0" encoding="utf-8"?>
<formControlPr xmlns="http://schemas.microsoft.com/office/spreadsheetml/2009/9/main" objectType="CheckBox" fmlaLink="$K$4" lockText="1"/>
</file>

<file path=xl/ctrlProps/ctrlProp644.xml><?xml version="1.0" encoding="utf-8"?>
<formControlPr xmlns="http://schemas.microsoft.com/office/spreadsheetml/2009/9/main" objectType="CheckBox" checked="Checked" fmlaLink="$E$4" lockText="1"/>
</file>

<file path=xl/ctrlProps/ctrlProp645.xml><?xml version="1.0" encoding="utf-8"?>
<formControlPr xmlns="http://schemas.microsoft.com/office/spreadsheetml/2009/9/main" objectType="CheckBox" checked="Checked" fmlaLink="$D$4" lockText="1"/>
</file>

<file path=xl/ctrlProps/ctrlProp646.xml><?xml version="1.0" encoding="utf-8"?>
<formControlPr xmlns="http://schemas.microsoft.com/office/spreadsheetml/2009/9/main" objectType="CheckBox" fmlaLink="$L$4" lockText="1"/>
</file>

<file path=xl/ctrlProps/ctrlProp647.xml><?xml version="1.0" encoding="utf-8"?>
<formControlPr xmlns="http://schemas.microsoft.com/office/spreadsheetml/2009/9/main" objectType="CheckBox" checked="Checked" fmlaLink="$E$4" lockText="1"/>
</file>

<file path=xl/ctrlProps/ctrlProp648.xml><?xml version="1.0" encoding="utf-8"?>
<formControlPr xmlns="http://schemas.microsoft.com/office/spreadsheetml/2009/9/main" objectType="CheckBox" checked="Checked" fmlaLink="$D$4" lockText="1"/>
</file>

<file path=xl/ctrlProps/ctrlProp649.xml><?xml version="1.0" encoding="utf-8"?>
<formControlPr xmlns="http://schemas.microsoft.com/office/spreadsheetml/2009/9/main" objectType="CheckBox" fmlaLink="$M$4" lockText="1"/>
</file>

<file path=xl/ctrlProps/ctrlProp650.xml><?xml version="1.0" encoding="utf-8"?>
<formControlPr xmlns="http://schemas.microsoft.com/office/spreadsheetml/2009/9/main" objectType="CheckBox" checked="Checked" fmlaLink="$E$4" lockText="1"/>
</file>

<file path=xl/ctrlProps/ctrlProp651.xml><?xml version="1.0" encoding="utf-8"?>
<formControlPr xmlns="http://schemas.microsoft.com/office/spreadsheetml/2009/9/main" objectType="CheckBox" checked="Checked" fmlaLink="$D$4" lockText="1"/>
</file>

<file path=xl/ctrlProps/ctrlProp652.xml><?xml version="1.0" encoding="utf-8"?>
<formControlPr xmlns="http://schemas.microsoft.com/office/spreadsheetml/2009/9/main" objectType="CheckBox" fmlaLink="$N$4" lockText="1"/>
</file>

<file path=xl/ctrlProps/ctrlProp653.xml><?xml version="1.0" encoding="utf-8"?>
<formControlPr xmlns="http://schemas.microsoft.com/office/spreadsheetml/2009/9/main" objectType="CheckBox" checked="Checked" fmlaLink="$E$4" lockText="1"/>
</file>

<file path=xl/ctrlProps/ctrlProp654.xml><?xml version="1.0" encoding="utf-8"?>
<formControlPr xmlns="http://schemas.microsoft.com/office/spreadsheetml/2009/9/main" objectType="CheckBox" checked="Checked" fmlaLink="$D$4" lockText="1"/>
</file>

<file path=xl/ctrlProps/ctrlProp655.xml><?xml version="1.0" encoding="utf-8"?>
<formControlPr xmlns="http://schemas.microsoft.com/office/spreadsheetml/2009/9/main" objectType="CheckBox" fmlaLink="$O$4" lockText="1"/>
</file>

<file path=xl/ctrlProps/ctrlProp656.xml><?xml version="1.0" encoding="utf-8"?>
<formControlPr xmlns="http://schemas.microsoft.com/office/spreadsheetml/2009/9/main" objectType="CheckBox" checked="Checked" fmlaLink="$E$4" lockText="1"/>
</file>

<file path=xl/ctrlProps/ctrlProp657.xml><?xml version="1.0" encoding="utf-8"?>
<formControlPr xmlns="http://schemas.microsoft.com/office/spreadsheetml/2009/9/main" objectType="CheckBox" checked="Checked" fmlaLink="$D$4" lockText="1"/>
</file>

<file path=xl/ctrlProps/ctrlProp658.xml><?xml version="1.0" encoding="utf-8"?>
<formControlPr xmlns="http://schemas.microsoft.com/office/spreadsheetml/2009/9/main" objectType="CheckBox" fmlaLink="$P$4" lockText="1"/>
</file>

<file path=xl/ctrlProps/ctrlProp659.xml><?xml version="1.0" encoding="utf-8"?>
<formControlPr xmlns="http://schemas.microsoft.com/office/spreadsheetml/2009/9/main" objectType="CheckBox" checked="Checked" fmlaLink="$E$4" lockText="1"/>
</file>

<file path=xl/ctrlProps/ctrlProp660.xml><?xml version="1.0" encoding="utf-8"?>
<formControlPr xmlns="http://schemas.microsoft.com/office/spreadsheetml/2009/9/main" objectType="CheckBox" fmlaLink="$Q$4" lockText="1"/>
</file>

<file path=xl/ctrlProps/ctrlProp661.xml><?xml version="1.0" encoding="utf-8"?>
<formControlPr xmlns="http://schemas.microsoft.com/office/spreadsheetml/2009/9/main" objectType="CheckBox" checked="Checked" fmlaLink="$D$4" lockText="1"/>
</file>

<file path=xl/ctrlProps/ctrlProp662.xml><?xml version="1.0" encoding="utf-8"?>
<formControlPr xmlns="http://schemas.microsoft.com/office/spreadsheetml/2009/9/main" objectType="CheckBox" checked="Checked" fmlaLink="$D$4" lockText="1" noThreeD="1"/>
</file>

<file path=xl/ctrlProps/ctrlProp663.xml><?xml version="1.0" encoding="utf-8"?>
<formControlPr xmlns="http://schemas.microsoft.com/office/spreadsheetml/2009/9/main" objectType="CheckBox" checked="Checked" fmlaLink="$D$4" lockText="1" noThreeD="1"/>
</file>

<file path=xl/ctrlProps/ctrlProp664.xml><?xml version="1.0" encoding="utf-8"?>
<formControlPr xmlns="http://schemas.microsoft.com/office/spreadsheetml/2009/9/main" objectType="CheckBox" checked="Checked" fmlaLink="$E$4" lockText="1"/>
</file>

<file path=xl/ctrlProps/ctrlProp665.xml><?xml version="1.0" encoding="utf-8"?>
<formControlPr xmlns="http://schemas.microsoft.com/office/spreadsheetml/2009/9/main" objectType="CheckBox" checked="Checked" fmlaLink="$D$4" lockText="1"/>
</file>

<file path=xl/ctrlProps/ctrlProp666.xml><?xml version="1.0" encoding="utf-8"?>
<formControlPr xmlns="http://schemas.microsoft.com/office/spreadsheetml/2009/9/main" objectType="CheckBox" fmlaLink="$Q$4" lockText="1"/>
</file>

<file path=xl/ctrlProps/ctrlProp667.xml><?xml version="1.0" encoding="utf-8"?>
<formControlPr xmlns="http://schemas.microsoft.com/office/spreadsheetml/2009/9/main" objectType="CheckBox" checked="Checked" fmlaLink="$E$4" lockText="1"/>
</file>

<file path=xl/ctrlProps/ctrlProp668.xml><?xml version="1.0" encoding="utf-8"?>
<formControlPr xmlns="http://schemas.microsoft.com/office/spreadsheetml/2009/9/main" objectType="CheckBox" fmlaLink="$R$4" lockText="1"/>
</file>

<file path=xl/ctrlProps/ctrlProp669.xml><?xml version="1.0" encoding="utf-8"?>
<formControlPr xmlns="http://schemas.microsoft.com/office/spreadsheetml/2009/9/main" objectType="CheckBox" checked="Checked" fmlaLink="$D$4" lockText="1" noThreeD="1"/>
</file>

<file path=xl/ctrlProps/ctrlProp670.xml><?xml version="1.0" encoding="utf-8"?>
<formControlPr xmlns="http://schemas.microsoft.com/office/spreadsheetml/2009/9/main" objectType="CheckBox" checked="Checked" fmlaLink="$E$4" lockText="1"/>
</file>

<file path=xl/ctrlProps/ctrlProp671.xml><?xml version="1.0" encoding="utf-8"?>
<formControlPr xmlns="http://schemas.microsoft.com/office/spreadsheetml/2009/9/main" objectType="CheckBox" checked="Checked" fmlaLink="$D$4" lockText="1"/>
</file>

<file path=xl/ctrlProps/ctrlProp672.xml><?xml version="1.0" encoding="utf-8"?>
<formControlPr xmlns="http://schemas.microsoft.com/office/spreadsheetml/2009/9/main" objectType="CheckBox" fmlaLink="$J$4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5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5" Type="http://schemas.openxmlformats.org/officeDocument/2006/relationships/image" Target="../media/image40.emf"/><Relationship Id="rId4" Type="http://schemas.openxmlformats.org/officeDocument/2006/relationships/image" Target="../media/image3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5" Type="http://schemas.openxmlformats.org/officeDocument/2006/relationships/image" Target="../media/image45.emf"/><Relationship Id="rId4" Type="http://schemas.openxmlformats.org/officeDocument/2006/relationships/image" Target="../media/image4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5" Type="http://schemas.openxmlformats.org/officeDocument/2006/relationships/image" Target="../media/image50.emf"/><Relationship Id="rId4" Type="http://schemas.openxmlformats.org/officeDocument/2006/relationships/image" Target="../media/image49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2.emf"/><Relationship Id="rId1" Type="http://schemas.openxmlformats.org/officeDocument/2006/relationships/image" Target="../media/image51.emf"/><Relationship Id="rId5" Type="http://schemas.openxmlformats.org/officeDocument/2006/relationships/image" Target="../media/image55.emf"/><Relationship Id="rId4" Type="http://schemas.openxmlformats.org/officeDocument/2006/relationships/image" Target="../media/image5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5" Type="http://schemas.openxmlformats.org/officeDocument/2006/relationships/image" Target="../media/image60.emf"/><Relationship Id="rId4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200025</xdr:rowOff>
        </xdr:from>
        <xdr:to>
          <xdr:col>4</xdr:col>
          <xdr:colOff>819150</xdr:colOff>
          <xdr:row>4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200025</xdr:rowOff>
        </xdr:from>
        <xdr:to>
          <xdr:col>4</xdr:col>
          <xdr:colOff>819150</xdr:colOff>
          <xdr:row>4</xdr:row>
          <xdr:rowOff>19050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</xdr:row>
          <xdr:rowOff>200025</xdr:rowOff>
        </xdr:from>
        <xdr:to>
          <xdr:col>3</xdr:col>
          <xdr:colOff>819150</xdr:colOff>
          <xdr:row>4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200025</xdr:rowOff>
        </xdr:from>
        <xdr:to>
          <xdr:col>1</xdr:col>
          <xdr:colOff>0</xdr:colOff>
          <xdr:row>4</xdr:row>
          <xdr:rowOff>57150</xdr:rowOff>
        </xdr:to>
        <xdr:sp macro="" textlink="">
          <xdr:nvSpPr>
            <xdr:cNvPr id="1134" name="交换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5</xdr:row>
          <xdr:rowOff>104775</xdr:rowOff>
        </xdr:from>
        <xdr:to>
          <xdr:col>1</xdr:col>
          <xdr:colOff>0</xdr:colOff>
          <xdr:row>6</xdr:row>
          <xdr:rowOff>76200</xdr:rowOff>
        </xdr:to>
        <xdr:sp macro="" textlink="">
          <xdr:nvSpPr>
            <xdr:cNvPr id="1136" name="stage2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8</xdr:row>
          <xdr:rowOff>38100</xdr:rowOff>
        </xdr:from>
        <xdr:to>
          <xdr:col>1</xdr:col>
          <xdr:colOff>0</xdr:colOff>
          <xdr:row>9</xdr:row>
          <xdr:rowOff>114300</xdr:rowOff>
        </xdr:to>
        <xdr:sp macro="" textlink="">
          <xdr:nvSpPr>
            <xdr:cNvPr id="1138" name="stage_num_set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9</xdr:row>
          <xdr:rowOff>114300</xdr:rowOff>
        </xdr:from>
        <xdr:to>
          <xdr:col>1</xdr:col>
          <xdr:colOff>0</xdr:colOff>
          <xdr:row>10</xdr:row>
          <xdr:rowOff>152400</xdr:rowOff>
        </xdr:to>
        <xdr:sp macro="" textlink="">
          <xdr:nvSpPr>
            <xdr:cNvPr id="1139" name="stage_num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4</xdr:row>
          <xdr:rowOff>57150</xdr:rowOff>
        </xdr:from>
        <xdr:to>
          <xdr:col>1</xdr:col>
          <xdr:colOff>0</xdr:colOff>
          <xdr:row>5</xdr:row>
          <xdr:rowOff>104775</xdr:rowOff>
        </xdr:to>
        <xdr:sp macro="" textlink="">
          <xdr:nvSpPr>
            <xdr:cNvPr id="1140" name="stage1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200025</xdr:rowOff>
        </xdr:from>
        <xdr:to>
          <xdr:col>4</xdr:col>
          <xdr:colOff>819150</xdr:colOff>
          <xdr:row>4</xdr:row>
          <xdr:rowOff>19050</xdr:rowOff>
        </xdr:to>
        <xdr:sp macro="" textlink="">
          <xdr:nvSpPr>
            <xdr:cNvPr id="95233" name="Check Box 1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95234" name="Check Box 2" hidden="1">
              <a:extLst>
                <a:ext uri="{63B3BB69-23CF-44E3-9099-C40C66FF867C}">
                  <a14:compatExt spid="_x0000_s95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95235" name="Check Box 3" hidden="1">
              <a:extLst>
                <a:ext uri="{63B3BB69-23CF-44E3-9099-C40C66FF867C}">
                  <a14:compatExt spid="_x0000_s95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95236" name="Check Box 4" hidden="1">
              <a:extLst>
                <a:ext uri="{63B3BB69-23CF-44E3-9099-C40C66FF867C}">
                  <a14:compatExt spid="_x0000_s95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95237" name="Check Box 5" hidden="1">
              <a:extLst>
                <a:ext uri="{63B3BB69-23CF-44E3-9099-C40C66FF867C}">
                  <a14:compatExt spid="_x0000_s95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95238" name="Check Box 6" hidden="1">
              <a:extLst>
                <a:ext uri="{63B3BB69-23CF-44E3-9099-C40C66FF867C}">
                  <a14:compatExt spid="_x0000_s95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95239" name="Check Box 7" hidden="1">
              <a:extLst>
                <a:ext uri="{63B3BB69-23CF-44E3-9099-C40C66FF867C}">
                  <a14:compatExt spid="_x0000_s95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95240" name="Check Box 8" hidden="1">
              <a:extLst>
                <a:ext uri="{63B3BB69-23CF-44E3-9099-C40C66FF867C}">
                  <a14:compatExt spid="_x0000_s95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95241" name="Check Box 9" hidden="1">
              <a:extLst>
                <a:ext uri="{63B3BB69-23CF-44E3-9099-C40C66FF867C}">
                  <a14:compatExt spid="_x0000_s95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95242" name="Check Box 10" hidden="1">
              <a:extLst>
                <a:ext uri="{63B3BB69-23CF-44E3-9099-C40C66FF867C}">
                  <a14:compatExt spid="_x0000_s95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95243" name="Check Box 11" hidden="1">
              <a:extLst>
                <a:ext uri="{63B3BB69-23CF-44E3-9099-C40C66FF867C}">
                  <a14:compatExt spid="_x0000_s95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5244" name="Check Box 12" hidden="1">
              <a:extLst>
                <a:ext uri="{63B3BB69-23CF-44E3-9099-C40C66FF867C}">
                  <a14:compatExt spid="_x0000_s95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200025</xdr:rowOff>
        </xdr:from>
        <xdr:to>
          <xdr:col>4</xdr:col>
          <xdr:colOff>819150</xdr:colOff>
          <xdr:row>4</xdr:row>
          <xdr:rowOff>19050</xdr:rowOff>
        </xdr:to>
        <xdr:sp macro="" textlink="">
          <xdr:nvSpPr>
            <xdr:cNvPr id="95245" name="Check Box 13" hidden="1">
              <a:extLst>
                <a:ext uri="{63B3BB69-23CF-44E3-9099-C40C66FF867C}">
                  <a14:compatExt spid="_x0000_s95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95246" name="Check Box 14" hidden="1">
              <a:extLst>
                <a:ext uri="{63B3BB69-23CF-44E3-9099-C40C66FF867C}">
                  <a14:compatExt spid="_x0000_s95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95247" name="Check Box 15" hidden="1">
              <a:extLst>
                <a:ext uri="{63B3BB69-23CF-44E3-9099-C40C66FF867C}">
                  <a14:compatExt spid="_x0000_s95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95248" name="Check Box 16" hidden="1">
              <a:extLst>
                <a:ext uri="{63B3BB69-23CF-44E3-9099-C40C66FF867C}">
                  <a14:compatExt spid="_x0000_s95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95249" name="Check Box 17" hidden="1">
              <a:extLst>
                <a:ext uri="{63B3BB69-23CF-44E3-9099-C40C66FF867C}">
                  <a14:compatExt spid="_x0000_s95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95250" name="Check Box 18" hidden="1">
              <a:extLst>
                <a:ext uri="{63B3BB69-23CF-44E3-9099-C40C66FF867C}">
                  <a14:compatExt spid="_x0000_s95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95251" name="Check Box 19" hidden="1">
              <a:extLst>
                <a:ext uri="{63B3BB69-23CF-44E3-9099-C40C66FF867C}">
                  <a14:compatExt spid="_x0000_s95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95252" name="Check Box 20" hidden="1">
              <a:extLst>
                <a:ext uri="{63B3BB69-23CF-44E3-9099-C40C66FF867C}">
                  <a14:compatExt spid="_x0000_s95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95253" name="Check Box 21" hidden="1">
              <a:extLst>
                <a:ext uri="{63B3BB69-23CF-44E3-9099-C40C66FF867C}">
                  <a14:compatExt spid="_x0000_s95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95254" name="Check Box 22" hidden="1">
              <a:extLst>
                <a:ext uri="{63B3BB69-23CF-44E3-9099-C40C66FF867C}">
                  <a14:compatExt spid="_x0000_s95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95255" name="Check Box 23" hidden="1">
              <a:extLst>
                <a:ext uri="{63B3BB69-23CF-44E3-9099-C40C66FF867C}">
                  <a14:compatExt spid="_x0000_s95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95256" name="Check Box 24" hidden="1">
              <a:extLst>
                <a:ext uri="{63B3BB69-23CF-44E3-9099-C40C66FF867C}">
                  <a14:compatExt spid="_x0000_s95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95257" name="Check Box 25" hidden="1">
              <a:extLst>
                <a:ext uri="{63B3BB69-23CF-44E3-9099-C40C66FF867C}">
                  <a14:compatExt spid="_x0000_s95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95258" name="Check Box 26" hidden="1">
              <a:extLst>
                <a:ext uri="{63B3BB69-23CF-44E3-9099-C40C66FF867C}">
                  <a14:compatExt spid="_x0000_s95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95259" name="Check Box 27" hidden="1">
              <a:extLst>
                <a:ext uri="{63B3BB69-23CF-44E3-9099-C40C66FF867C}">
                  <a14:compatExt spid="_x0000_s95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95260" name="Check Box 28" hidden="1">
              <a:extLst>
                <a:ext uri="{63B3BB69-23CF-44E3-9099-C40C66FF867C}">
                  <a14:compatExt spid="_x0000_s95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95261" name="Check Box 29" hidden="1">
              <a:extLst>
                <a:ext uri="{63B3BB69-23CF-44E3-9099-C40C66FF867C}">
                  <a14:compatExt spid="_x0000_s95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95262" name="Check Box 30" hidden="1">
              <a:extLst>
                <a:ext uri="{63B3BB69-23CF-44E3-9099-C40C66FF867C}">
                  <a14:compatExt spid="_x0000_s95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95263" name="Check Box 31" hidden="1">
              <a:extLst>
                <a:ext uri="{63B3BB69-23CF-44E3-9099-C40C66FF867C}">
                  <a14:compatExt spid="_x0000_s95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95264" name="Check Box 32" hidden="1">
              <a:extLst>
                <a:ext uri="{63B3BB69-23CF-44E3-9099-C40C66FF867C}">
                  <a14:compatExt spid="_x0000_s95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95265" name="Check Box 33" hidden="1">
              <a:extLst>
                <a:ext uri="{63B3BB69-23CF-44E3-9099-C40C66FF867C}">
                  <a14:compatExt spid="_x0000_s95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95266" name="Check Box 34" hidden="1">
              <a:extLst>
                <a:ext uri="{63B3BB69-23CF-44E3-9099-C40C66FF867C}">
                  <a14:compatExt spid="_x0000_s95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95267" name="Check Box 35" hidden="1">
              <a:extLst>
                <a:ext uri="{63B3BB69-23CF-44E3-9099-C40C66FF867C}">
                  <a14:compatExt spid="_x0000_s95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95268" name="Check Box 36" hidden="1">
              <a:extLst>
                <a:ext uri="{63B3BB69-23CF-44E3-9099-C40C66FF867C}">
                  <a14:compatExt spid="_x0000_s95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95269" name="Check Box 37" hidden="1">
              <a:extLst>
                <a:ext uri="{63B3BB69-23CF-44E3-9099-C40C66FF867C}">
                  <a14:compatExt spid="_x0000_s95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95270" name="Check Box 38" hidden="1">
              <a:extLst>
                <a:ext uri="{63B3BB69-23CF-44E3-9099-C40C66FF867C}">
                  <a14:compatExt spid="_x0000_s95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95271" name="Check Box 39" hidden="1">
              <a:extLst>
                <a:ext uri="{63B3BB69-23CF-44E3-9099-C40C66FF867C}">
                  <a14:compatExt spid="_x0000_s95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95272" name="Check Box 40" hidden="1">
              <a:extLst>
                <a:ext uri="{63B3BB69-23CF-44E3-9099-C40C66FF867C}">
                  <a14:compatExt spid="_x0000_s95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95273" name="Check Box 41" hidden="1">
              <a:extLst>
                <a:ext uri="{63B3BB69-23CF-44E3-9099-C40C66FF867C}">
                  <a14:compatExt spid="_x0000_s95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95274" name="Check Box 42" hidden="1">
              <a:extLst>
                <a:ext uri="{63B3BB69-23CF-44E3-9099-C40C66FF867C}">
                  <a14:compatExt spid="_x0000_s95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5275" name="Check Box 43" hidden="1">
              <a:extLst>
                <a:ext uri="{63B3BB69-23CF-44E3-9099-C40C66FF867C}">
                  <a14:compatExt spid="_x0000_s95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5276" name="Check Box 44" hidden="1">
              <a:extLst>
                <a:ext uri="{63B3BB69-23CF-44E3-9099-C40C66FF867C}">
                  <a14:compatExt spid="_x0000_s95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</xdr:row>
          <xdr:rowOff>200025</xdr:rowOff>
        </xdr:from>
        <xdr:to>
          <xdr:col>3</xdr:col>
          <xdr:colOff>819150</xdr:colOff>
          <xdr:row>4</xdr:row>
          <xdr:rowOff>19050</xdr:rowOff>
        </xdr:to>
        <xdr:sp macro="" textlink="">
          <xdr:nvSpPr>
            <xdr:cNvPr id="95277" name="Check Box 45" hidden="1">
              <a:extLst>
                <a:ext uri="{63B3BB69-23CF-44E3-9099-C40C66FF867C}">
                  <a14:compatExt spid="_x0000_s95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5278" name="Check Box 46" hidden="1">
              <a:extLst>
                <a:ext uri="{63B3BB69-23CF-44E3-9099-C40C66FF867C}">
                  <a14:compatExt spid="_x0000_s95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95279" name="Check Box 47" hidden="1">
              <a:extLst>
                <a:ext uri="{63B3BB69-23CF-44E3-9099-C40C66FF867C}">
                  <a14:compatExt spid="_x0000_s95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5280" name="Check Box 48" hidden="1">
              <a:extLst>
                <a:ext uri="{63B3BB69-23CF-44E3-9099-C40C66FF867C}">
                  <a14:compatExt spid="_x0000_s95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5281" name="Check Box 49" hidden="1">
              <a:extLst>
                <a:ext uri="{63B3BB69-23CF-44E3-9099-C40C66FF867C}">
                  <a14:compatExt spid="_x0000_s95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5282" name="Check Box 50" hidden="1">
              <a:extLst>
                <a:ext uri="{63B3BB69-23CF-44E3-9099-C40C66FF867C}">
                  <a14:compatExt spid="_x0000_s95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95283" name="Check Box 51" hidden="1">
              <a:extLst>
                <a:ext uri="{63B3BB69-23CF-44E3-9099-C40C66FF867C}">
                  <a14:compatExt spid="_x0000_s95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95284" name="Check Box 52" hidden="1">
              <a:extLst>
                <a:ext uri="{63B3BB69-23CF-44E3-9099-C40C66FF867C}">
                  <a14:compatExt spid="_x0000_s95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95285" name="Check Box 53" hidden="1">
              <a:extLst>
                <a:ext uri="{63B3BB69-23CF-44E3-9099-C40C66FF867C}">
                  <a14:compatExt spid="_x0000_s95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95286" name="Check Box 54" hidden="1">
              <a:extLst>
                <a:ext uri="{63B3BB69-23CF-44E3-9099-C40C66FF867C}">
                  <a14:compatExt spid="_x0000_s95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95287" name="Check Box 55" hidden="1">
              <a:extLst>
                <a:ext uri="{63B3BB69-23CF-44E3-9099-C40C66FF867C}">
                  <a14:compatExt spid="_x0000_s95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95288" name="Check Box 56" hidden="1">
              <a:extLst>
                <a:ext uri="{63B3BB69-23CF-44E3-9099-C40C66FF867C}">
                  <a14:compatExt spid="_x0000_s95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200025</xdr:rowOff>
        </xdr:from>
        <xdr:to>
          <xdr:col>1</xdr:col>
          <xdr:colOff>0</xdr:colOff>
          <xdr:row>4</xdr:row>
          <xdr:rowOff>57150</xdr:rowOff>
        </xdr:to>
        <xdr:sp macro="" textlink="">
          <xdr:nvSpPr>
            <xdr:cNvPr id="95289" name="交换" hidden="1">
              <a:extLst>
                <a:ext uri="{63B3BB69-23CF-44E3-9099-C40C66FF867C}">
                  <a14:compatExt spid="_x0000_s95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5</xdr:row>
          <xdr:rowOff>104775</xdr:rowOff>
        </xdr:from>
        <xdr:to>
          <xdr:col>1</xdr:col>
          <xdr:colOff>0</xdr:colOff>
          <xdr:row>6</xdr:row>
          <xdr:rowOff>76200</xdr:rowOff>
        </xdr:to>
        <xdr:sp macro="" textlink="">
          <xdr:nvSpPr>
            <xdr:cNvPr id="95290" name="stage2" hidden="1">
              <a:extLst>
                <a:ext uri="{63B3BB69-23CF-44E3-9099-C40C66FF867C}">
                  <a14:compatExt spid="_x0000_s95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8</xdr:row>
          <xdr:rowOff>38100</xdr:rowOff>
        </xdr:from>
        <xdr:to>
          <xdr:col>1</xdr:col>
          <xdr:colOff>0</xdr:colOff>
          <xdr:row>9</xdr:row>
          <xdr:rowOff>114300</xdr:rowOff>
        </xdr:to>
        <xdr:sp macro="" textlink="">
          <xdr:nvSpPr>
            <xdr:cNvPr id="95291" name="stage_num_set" hidden="1">
              <a:extLst>
                <a:ext uri="{63B3BB69-23CF-44E3-9099-C40C66FF867C}">
                  <a14:compatExt spid="_x0000_s95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9</xdr:row>
          <xdr:rowOff>114300</xdr:rowOff>
        </xdr:from>
        <xdr:to>
          <xdr:col>1</xdr:col>
          <xdr:colOff>0</xdr:colOff>
          <xdr:row>10</xdr:row>
          <xdr:rowOff>152400</xdr:rowOff>
        </xdr:to>
        <xdr:sp macro="" textlink="">
          <xdr:nvSpPr>
            <xdr:cNvPr id="95292" name="stage_num" hidden="1">
              <a:extLst>
                <a:ext uri="{63B3BB69-23CF-44E3-9099-C40C66FF867C}">
                  <a14:compatExt spid="_x0000_s95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4</xdr:row>
          <xdr:rowOff>57150</xdr:rowOff>
        </xdr:from>
        <xdr:to>
          <xdr:col>1</xdr:col>
          <xdr:colOff>0</xdr:colOff>
          <xdr:row>5</xdr:row>
          <xdr:rowOff>104775</xdr:rowOff>
        </xdr:to>
        <xdr:sp macro="" textlink="">
          <xdr:nvSpPr>
            <xdr:cNvPr id="95293" name="stage1" hidden="1">
              <a:extLst>
                <a:ext uri="{63B3BB69-23CF-44E3-9099-C40C66FF867C}">
                  <a14:compatExt spid="_x0000_s95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200025</xdr:rowOff>
        </xdr:from>
        <xdr:to>
          <xdr:col>4</xdr:col>
          <xdr:colOff>819150</xdr:colOff>
          <xdr:row>4</xdr:row>
          <xdr:rowOff>19050</xdr:rowOff>
        </xdr:to>
        <xdr:sp macro="" textlink="">
          <xdr:nvSpPr>
            <xdr:cNvPr id="83969" name="Check Box 1" hidden="1">
              <a:extLst>
                <a:ext uri="{63B3BB69-23CF-44E3-9099-C40C66FF867C}">
                  <a14:compatExt spid="_x0000_s83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83970" name="Check Box 2" hidden="1">
              <a:extLst>
                <a:ext uri="{63B3BB69-23CF-44E3-9099-C40C66FF867C}">
                  <a14:compatExt spid="_x0000_s83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83971" name="Check Box 3" hidden="1">
              <a:extLst>
                <a:ext uri="{63B3BB69-23CF-44E3-9099-C40C66FF867C}">
                  <a14:compatExt spid="_x0000_s83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83972" name="Check Box 4" hidden="1">
              <a:extLst>
                <a:ext uri="{63B3BB69-23CF-44E3-9099-C40C66FF867C}">
                  <a14:compatExt spid="_x0000_s83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83973" name="Check Box 5" hidden="1">
              <a:extLst>
                <a:ext uri="{63B3BB69-23CF-44E3-9099-C40C66FF867C}">
                  <a14:compatExt spid="_x0000_s83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83974" name="Check Box 6" hidden="1">
              <a:extLst>
                <a:ext uri="{63B3BB69-23CF-44E3-9099-C40C66FF867C}">
                  <a14:compatExt spid="_x0000_s83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83975" name="Check Box 7" hidden="1">
              <a:extLst>
                <a:ext uri="{63B3BB69-23CF-44E3-9099-C40C66FF867C}">
                  <a14:compatExt spid="_x0000_s83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83976" name="Check Box 8" hidden="1">
              <a:extLst>
                <a:ext uri="{63B3BB69-23CF-44E3-9099-C40C66FF867C}">
                  <a14:compatExt spid="_x0000_s83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83977" name="Check Box 9" hidden="1">
              <a:extLst>
                <a:ext uri="{63B3BB69-23CF-44E3-9099-C40C66FF867C}">
                  <a14:compatExt spid="_x0000_s83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83978" name="Check Box 10" hidden="1">
              <a:extLst>
                <a:ext uri="{63B3BB69-23CF-44E3-9099-C40C66FF867C}">
                  <a14:compatExt spid="_x0000_s83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83979" name="Check Box 11" hidden="1">
              <a:extLst>
                <a:ext uri="{63B3BB69-23CF-44E3-9099-C40C66FF867C}">
                  <a14:compatExt spid="_x0000_s83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3980" name="Check Box 12" hidden="1">
              <a:extLst>
                <a:ext uri="{63B3BB69-23CF-44E3-9099-C40C66FF867C}">
                  <a14:compatExt spid="_x0000_s83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200025</xdr:rowOff>
        </xdr:from>
        <xdr:to>
          <xdr:col>4</xdr:col>
          <xdr:colOff>819150</xdr:colOff>
          <xdr:row>4</xdr:row>
          <xdr:rowOff>19050</xdr:rowOff>
        </xdr:to>
        <xdr:sp macro="" textlink="">
          <xdr:nvSpPr>
            <xdr:cNvPr id="83981" name="Check Box 13" hidden="1">
              <a:extLst>
                <a:ext uri="{63B3BB69-23CF-44E3-9099-C40C66FF867C}">
                  <a14:compatExt spid="_x0000_s83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83982" name="Check Box 14" hidden="1">
              <a:extLst>
                <a:ext uri="{63B3BB69-23CF-44E3-9099-C40C66FF867C}">
                  <a14:compatExt spid="_x0000_s83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83983" name="Check Box 15" hidden="1">
              <a:extLst>
                <a:ext uri="{63B3BB69-23CF-44E3-9099-C40C66FF867C}">
                  <a14:compatExt spid="_x0000_s83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83984" name="Check Box 16" hidden="1">
              <a:extLst>
                <a:ext uri="{63B3BB69-23CF-44E3-9099-C40C66FF867C}">
                  <a14:compatExt spid="_x0000_s83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83985" name="Check Box 17" hidden="1">
              <a:extLst>
                <a:ext uri="{63B3BB69-23CF-44E3-9099-C40C66FF867C}">
                  <a14:compatExt spid="_x0000_s83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83986" name="Check Box 18" hidden="1">
              <a:extLst>
                <a:ext uri="{63B3BB69-23CF-44E3-9099-C40C66FF867C}">
                  <a14:compatExt spid="_x0000_s83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83987" name="Check Box 19" hidden="1">
              <a:extLst>
                <a:ext uri="{63B3BB69-23CF-44E3-9099-C40C66FF867C}">
                  <a14:compatExt spid="_x0000_s83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83988" name="Check Box 20" hidden="1">
              <a:extLst>
                <a:ext uri="{63B3BB69-23CF-44E3-9099-C40C66FF867C}">
                  <a14:compatExt spid="_x0000_s83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83989" name="Check Box 21" hidden="1">
              <a:extLst>
                <a:ext uri="{63B3BB69-23CF-44E3-9099-C40C66FF867C}">
                  <a14:compatExt spid="_x0000_s83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83990" name="Check Box 22" hidden="1">
              <a:extLst>
                <a:ext uri="{63B3BB69-23CF-44E3-9099-C40C66FF867C}">
                  <a14:compatExt spid="_x0000_s83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83991" name="Check Box 23" hidden="1">
              <a:extLst>
                <a:ext uri="{63B3BB69-23CF-44E3-9099-C40C66FF867C}">
                  <a14:compatExt spid="_x0000_s83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83992" name="Check Box 24" hidden="1">
              <a:extLst>
                <a:ext uri="{63B3BB69-23CF-44E3-9099-C40C66FF867C}">
                  <a14:compatExt spid="_x0000_s83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83993" name="Check Box 25" hidden="1">
              <a:extLst>
                <a:ext uri="{63B3BB69-23CF-44E3-9099-C40C66FF867C}">
                  <a14:compatExt spid="_x0000_s83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83994" name="Check Box 26" hidden="1">
              <a:extLst>
                <a:ext uri="{63B3BB69-23CF-44E3-9099-C40C66FF867C}">
                  <a14:compatExt spid="_x0000_s83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83995" name="Check Box 27" hidden="1">
              <a:extLst>
                <a:ext uri="{63B3BB69-23CF-44E3-9099-C40C66FF867C}">
                  <a14:compatExt spid="_x0000_s83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83996" name="Check Box 28" hidden="1">
              <a:extLst>
                <a:ext uri="{63B3BB69-23CF-44E3-9099-C40C66FF867C}">
                  <a14:compatExt spid="_x0000_s83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83997" name="Check Box 29" hidden="1">
              <a:extLst>
                <a:ext uri="{63B3BB69-23CF-44E3-9099-C40C66FF867C}">
                  <a14:compatExt spid="_x0000_s83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83998" name="Check Box 30" hidden="1">
              <a:extLst>
                <a:ext uri="{63B3BB69-23CF-44E3-9099-C40C66FF867C}">
                  <a14:compatExt spid="_x0000_s83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83999" name="Check Box 31" hidden="1">
              <a:extLst>
                <a:ext uri="{63B3BB69-23CF-44E3-9099-C40C66FF867C}">
                  <a14:compatExt spid="_x0000_s83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84000" name="Check Box 32" hidden="1">
              <a:extLst>
                <a:ext uri="{63B3BB69-23CF-44E3-9099-C40C66FF867C}">
                  <a14:compatExt spid="_x0000_s84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84001" name="Check Box 33" hidden="1">
              <a:extLst>
                <a:ext uri="{63B3BB69-23CF-44E3-9099-C40C66FF867C}">
                  <a14:compatExt spid="_x0000_s84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84002" name="Check Box 34" hidden="1">
              <a:extLst>
                <a:ext uri="{63B3BB69-23CF-44E3-9099-C40C66FF867C}">
                  <a14:compatExt spid="_x0000_s84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84003" name="Check Box 35" hidden="1">
              <a:extLst>
                <a:ext uri="{63B3BB69-23CF-44E3-9099-C40C66FF867C}">
                  <a14:compatExt spid="_x0000_s84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84004" name="Check Box 36" hidden="1">
              <a:extLst>
                <a:ext uri="{63B3BB69-23CF-44E3-9099-C40C66FF867C}">
                  <a14:compatExt spid="_x0000_s84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84005" name="Check Box 37" hidden="1">
              <a:extLst>
                <a:ext uri="{63B3BB69-23CF-44E3-9099-C40C66FF867C}">
                  <a14:compatExt spid="_x0000_s84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84006" name="Check Box 38" hidden="1">
              <a:extLst>
                <a:ext uri="{63B3BB69-23CF-44E3-9099-C40C66FF867C}">
                  <a14:compatExt spid="_x0000_s84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84007" name="Check Box 39" hidden="1">
              <a:extLst>
                <a:ext uri="{63B3BB69-23CF-44E3-9099-C40C66FF867C}">
                  <a14:compatExt spid="_x0000_s84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84008" name="Check Box 40" hidden="1">
              <a:extLst>
                <a:ext uri="{63B3BB69-23CF-44E3-9099-C40C66FF867C}">
                  <a14:compatExt spid="_x0000_s84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84009" name="Check Box 41" hidden="1">
              <a:extLst>
                <a:ext uri="{63B3BB69-23CF-44E3-9099-C40C66FF867C}">
                  <a14:compatExt spid="_x0000_s84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84010" name="Check Box 42" hidden="1">
              <a:extLst>
                <a:ext uri="{63B3BB69-23CF-44E3-9099-C40C66FF867C}">
                  <a14:compatExt spid="_x0000_s84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4011" name="Check Box 43" hidden="1">
              <a:extLst>
                <a:ext uri="{63B3BB69-23CF-44E3-9099-C40C66FF867C}">
                  <a14:compatExt spid="_x0000_s84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4012" name="Check Box 44" hidden="1">
              <a:extLst>
                <a:ext uri="{63B3BB69-23CF-44E3-9099-C40C66FF867C}">
                  <a14:compatExt spid="_x0000_s84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</xdr:row>
          <xdr:rowOff>200025</xdr:rowOff>
        </xdr:from>
        <xdr:to>
          <xdr:col>3</xdr:col>
          <xdr:colOff>819150</xdr:colOff>
          <xdr:row>4</xdr:row>
          <xdr:rowOff>19050</xdr:rowOff>
        </xdr:to>
        <xdr:sp macro="" textlink="">
          <xdr:nvSpPr>
            <xdr:cNvPr id="84013" name="Check Box 45" hidden="1">
              <a:extLst>
                <a:ext uri="{63B3BB69-23CF-44E3-9099-C40C66FF867C}">
                  <a14:compatExt spid="_x0000_s84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4014" name="Check Box 46" hidden="1">
              <a:extLst>
                <a:ext uri="{63B3BB69-23CF-44E3-9099-C40C66FF867C}">
                  <a14:compatExt spid="_x0000_s84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84015" name="Check Box 47" hidden="1">
              <a:extLst>
                <a:ext uri="{63B3BB69-23CF-44E3-9099-C40C66FF867C}">
                  <a14:compatExt spid="_x0000_s84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4016" name="Check Box 48" hidden="1">
              <a:extLst>
                <a:ext uri="{63B3BB69-23CF-44E3-9099-C40C66FF867C}">
                  <a14:compatExt spid="_x0000_s84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4017" name="Check Box 49" hidden="1">
              <a:extLst>
                <a:ext uri="{63B3BB69-23CF-44E3-9099-C40C66FF867C}">
                  <a14:compatExt spid="_x0000_s84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4018" name="Check Box 50" hidden="1">
              <a:extLst>
                <a:ext uri="{63B3BB69-23CF-44E3-9099-C40C66FF867C}">
                  <a14:compatExt spid="_x0000_s84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84019" name="Check Box 51" hidden="1">
              <a:extLst>
                <a:ext uri="{63B3BB69-23CF-44E3-9099-C40C66FF867C}">
                  <a14:compatExt spid="_x0000_s84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84020" name="Check Box 52" hidden="1">
              <a:extLst>
                <a:ext uri="{63B3BB69-23CF-44E3-9099-C40C66FF867C}">
                  <a14:compatExt spid="_x0000_s84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84021" name="Check Box 53" hidden="1">
              <a:extLst>
                <a:ext uri="{63B3BB69-23CF-44E3-9099-C40C66FF867C}">
                  <a14:compatExt spid="_x0000_s84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84022" name="Check Box 54" hidden="1">
              <a:extLst>
                <a:ext uri="{63B3BB69-23CF-44E3-9099-C40C66FF867C}">
                  <a14:compatExt spid="_x0000_s84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84023" name="Check Box 55" hidden="1">
              <a:extLst>
                <a:ext uri="{63B3BB69-23CF-44E3-9099-C40C66FF867C}">
                  <a14:compatExt spid="_x0000_s84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84024" name="Check Box 56" hidden="1">
              <a:extLst>
                <a:ext uri="{63B3BB69-23CF-44E3-9099-C40C66FF867C}">
                  <a14:compatExt spid="_x0000_s84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200025</xdr:rowOff>
        </xdr:from>
        <xdr:to>
          <xdr:col>1</xdr:col>
          <xdr:colOff>0</xdr:colOff>
          <xdr:row>4</xdr:row>
          <xdr:rowOff>57150</xdr:rowOff>
        </xdr:to>
        <xdr:sp macro="" textlink="">
          <xdr:nvSpPr>
            <xdr:cNvPr id="84025" name="交换" hidden="1">
              <a:extLst>
                <a:ext uri="{63B3BB69-23CF-44E3-9099-C40C66FF867C}">
                  <a14:compatExt spid="_x0000_s84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5</xdr:row>
          <xdr:rowOff>104775</xdr:rowOff>
        </xdr:from>
        <xdr:to>
          <xdr:col>1</xdr:col>
          <xdr:colOff>0</xdr:colOff>
          <xdr:row>6</xdr:row>
          <xdr:rowOff>76200</xdr:rowOff>
        </xdr:to>
        <xdr:sp macro="" textlink="">
          <xdr:nvSpPr>
            <xdr:cNvPr id="84026" name="stage2" hidden="1">
              <a:extLst>
                <a:ext uri="{63B3BB69-23CF-44E3-9099-C40C66FF867C}">
                  <a14:compatExt spid="_x0000_s84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8</xdr:row>
          <xdr:rowOff>38100</xdr:rowOff>
        </xdr:from>
        <xdr:to>
          <xdr:col>1</xdr:col>
          <xdr:colOff>0</xdr:colOff>
          <xdr:row>9</xdr:row>
          <xdr:rowOff>114300</xdr:rowOff>
        </xdr:to>
        <xdr:sp macro="" textlink="">
          <xdr:nvSpPr>
            <xdr:cNvPr id="84027" name="stage_num_set" hidden="1">
              <a:extLst>
                <a:ext uri="{63B3BB69-23CF-44E3-9099-C40C66FF867C}">
                  <a14:compatExt spid="_x0000_s84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9</xdr:row>
          <xdr:rowOff>114300</xdr:rowOff>
        </xdr:from>
        <xdr:to>
          <xdr:col>1</xdr:col>
          <xdr:colOff>0</xdr:colOff>
          <xdr:row>10</xdr:row>
          <xdr:rowOff>152400</xdr:rowOff>
        </xdr:to>
        <xdr:sp macro="" textlink="">
          <xdr:nvSpPr>
            <xdr:cNvPr id="84028" name="stage_num" hidden="1">
              <a:extLst>
                <a:ext uri="{63B3BB69-23CF-44E3-9099-C40C66FF867C}">
                  <a14:compatExt spid="_x0000_s84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4</xdr:row>
          <xdr:rowOff>57150</xdr:rowOff>
        </xdr:from>
        <xdr:to>
          <xdr:col>1</xdr:col>
          <xdr:colOff>0</xdr:colOff>
          <xdr:row>5</xdr:row>
          <xdr:rowOff>104775</xdr:rowOff>
        </xdr:to>
        <xdr:sp macro="" textlink="">
          <xdr:nvSpPr>
            <xdr:cNvPr id="84029" name="stage1" hidden="1">
              <a:extLst>
                <a:ext uri="{63B3BB69-23CF-44E3-9099-C40C66FF867C}">
                  <a14:compatExt spid="_x0000_s84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200025</xdr:rowOff>
        </xdr:from>
        <xdr:to>
          <xdr:col>4</xdr:col>
          <xdr:colOff>819150</xdr:colOff>
          <xdr:row>4</xdr:row>
          <xdr:rowOff>19050</xdr:rowOff>
        </xdr:to>
        <xdr:sp macro="" textlink="">
          <xdr:nvSpPr>
            <xdr:cNvPr id="84993" name="Check Box 1" hidden="1">
              <a:extLst>
                <a:ext uri="{63B3BB69-23CF-44E3-9099-C40C66FF867C}">
                  <a14:compatExt spid="_x0000_s84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84994" name="Check Box 2" hidden="1">
              <a:extLst>
                <a:ext uri="{63B3BB69-23CF-44E3-9099-C40C66FF867C}">
                  <a14:compatExt spid="_x0000_s84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84995" name="Check Box 3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84996" name="Check Box 4" hidden="1">
              <a:extLst>
                <a:ext uri="{63B3BB69-23CF-44E3-9099-C40C66FF867C}">
                  <a14:compatExt spid="_x0000_s84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84997" name="Check Box 5" hidden="1">
              <a:extLst>
                <a:ext uri="{63B3BB69-23CF-44E3-9099-C40C66FF867C}">
                  <a14:compatExt spid="_x0000_s84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84998" name="Check Box 6" hidden="1">
              <a:extLst>
                <a:ext uri="{63B3BB69-23CF-44E3-9099-C40C66FF867C}">
                  <a14:compatExt spid="_x0000_s84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84999" name="Check Box 7" hidden="1">
              <a:extLst>
                <a:ext uri="{63B3BB69-23CF-44E3-9099-C40C66FF867C}">
                  <a14:compatExt spid="_x0000_s84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85000" name="Check Box 8" hidden="1">
              <a:extLst>
                <a:ext uri="{63B3BB69-23CF-44E3-9099-C40C66FF867C}">
                  <a14:compatExt spid="_x0000_s85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85001" name="Check Box 9" hidden="1">
              <a:extLst>
                <a:ext uri="{63B3BB69-23CF-44E3-9099-C40C66FF867C}">
                  <a14:compatExt spid="_x0000_s85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85002" name="Check Box 10" hidden="1">
              <a:extLst>
                <a:ext uri="{63B3BB69-23CF-44E3-9099-C40C66FF867C}">
                  <a14:compatExt spid="_x0000_s85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85003" name="Check Box 11" hidden="1">
              <a:extLst>
                <a:ext uri="{63B3BB69-23CF-44E3-9099-C40C66FF867C}">
                  <a14:compatExt spid="_x0000_s85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5004" name="Check Box 12" hidden="1">
              <a:extLst>
                <a:ext uri="{63B3BB69-23CF-44E3-9099-C40C66FF867C}">
                  <a14:compatExt spid="_x0000_s85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200025</xdr:rowOff>
        </xdr:from>
        <xdr:to>
          <xdr:col>4</xdr:col>
          <xdr:colOff>819150</xdr:colOff>
          <xdr:row>4</xdr:row>
          <xdr:rowOff>19050</xdr:rowOff>
        </xdr:to>
        <xdr:sp macro="" textlink="">
          <xdr:nvSpPr>
            <xdr:cNvPr id="85005" name="Check Box 13" hidden="1">
              <a:extLst>
                <a:ext uri="{63B3BB69-23CF-44E3-9099-C40C66FF867C}">
                  <a14:compatExt spid="_x0000_s85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85006" name="Check Box 14" hidden="1">
              <a:extLst>
                <a:ext uri="{63B3BB69-23CF-44E3-9099-C40C66FF867C}">
                  <a14:compatExt spid="_x0000_s85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85007" name="Check Box 15" hidden="1">
              <a:extLst>
                <a:ext uri="{63B3BB69-23CF-44E3-9099-C40C66FF867C}">
                  <a14:compatExt spid="_x0000_s85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85008" name="Check Box 16" hidden="1">
              <a:extLst>
                <a:ext uri="{63B3BB69-23CF-44E3-9099-C40C66FF867C}">
                  <a14:compatExt spid="_x0000_s85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85009" name="Check Box 17" hidden="1">
              <a:extLst>
                <a:ext uri="{63B3BB69-23CF-44E3-9099-C40C66FF867C}">
                  <a14:compatExt spid="_x0000_s85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85010" name="Check Box 18" hidden="1">
              <a:extLst>
                <a:ext uri="{63B3BB69-23CF-44E3-9099-C40C66FF867C}">
                  <a14:compatExt spid="_x0000_s85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85011" name="Check Box 19" hidden="1">
              <a:extLst>
                <a:ext uri="{63B3BB69-23CF-44E3-9099-C40C66FF867C}">
                  <a14:compatExt spid="_x0000_s85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85012" name="Check Box 20" hidden="1">
              <a:extLst>
                <a:ext uri="{63B3BB69-23CF-44E3-9099-C40C66FF867C}">
                  <a14:compatExt spid="_x0000_s85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85013" name="Check Box 21" hidden="1">
              <a:extLst>
                <a:ext uri="{63B3BB69-23CF-44E3-9099-C40C66FF867C}">
                  <a14:compatExt spid="_x0000_s85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85014" name="Check Box 22" hidden="1">
              <a:extLst>
                <a:ext uri="{63B3BB69-23CF-44E3-9099-C40C66FF867C}">
                  <a14:compatExt spid="_x0000_s85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85015" name="Check Box 23" hidden="1">
              <a:extLst>
                <a:ext uri="{63B3BB69-23CF-44E3-9099-C40C66FF867C}">
                  <a14:compatExt spid="_x0000_s85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85016" name="Check Box 24" hidden="1">
              <a:extLst>
                <a:ext uri="{63B3BB69-23CF-44E3-9099-C40C66FF867C}">
                  <a14:compatExt spid="_x0000_s85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85017" name="Check Box 25" hidden="1">
              <a:extLst>
                <a:ext uri="{63B3BB69-23CF-44E3-9099-C40C66FF867C}">
                  <a14:compatExt spid="_x0000_s85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85018" name="Check Box 26" hidden="1">
              <a:extLst>
                <a:ext uri="{63B3BB69-23CF-44E3-9099-C40C66FF867C}">
                  <a14:compatExt spid="_x0000_s85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85019" name="Check Box 27" hidden="1">
              <a:extLst>
                <a:ext uri="{63B3BB69-23CF-44E3-9099-C40C66FF867C}">
                  <a14:compatExt spid="_x0000_s85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85020" name="Check Box 28" hidden="1">
              <a:extLst>
                <a:ext uri="{63B3BB69-23CF-44E3-9099-C40C66FF867C}">
                  <a14:compatExt spid="_x0000_s85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85021" name="Check Box 29" hidden="1">
              <a:extLst>
                <a:ext uri="{63B3BB69-23CF-44E3-9099-C40C66FF867C}">
                  <a14:compatExt spid="_x0000_s85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85022" name="Check Box 30" hidden="1">
              <a:extLst>
                <a:ext uri="{63B3BB69-23CF-44E3-9099-C40C66FF867C}">
                  <a14:compatExt spid="_x0000_s85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85023" name="Check Box 31" hidden="1">
              <a:extLst>
                <a:ext uri="{63B3BB69-23CF-44E3-9099-C40C66FF867C}">
                  <a14:compatExt spid="_x0000_s85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85024" name="Check Box 32" hidden="1">
              <a:extLst>
                <a:ext uri="{63B3BB69-23CF-44E3-9099-C40C66FF867C}">
                  <a14:compatExt spid="_x0000_s85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85025" name="Check Box 33" hidden="1">
              <a:extLst>
                <a:ext uri="{63B3BB69-23CF-44E3-9099-C40C66FF867C}">
                  <a14:compatExt spid="_x0000_s85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85026" name="Check Box 34" hidden="1">
              <a:extLst>
                <a:ext uri="{63B3BB69-23CF-44E3-9099-C40C66FF867C}">
                  <a14:compatExt spid="_x0000_s85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85027" name="Check Box 35" hidden="1">
              <a:extLst>
                <a:ext uri="{63B3BB69-23CF-44E3-9099-C40C66FF867C}">
                  <a14:compatExt spid="_x0000_s85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85028" name="Check Box 36" hidden="1">
              <a:extLst>
                <a:ext uri="{63B3BB69-23CF-44E3-9099-C40C66FF867C}">
                  <a14:compatExt spid="_x0000_s85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85029" name="Check Box 37" hidden="1">
              <a:extLst>
                <a:ext uri="{63B3BB69-23CF-44E3-9099-C40C66FF867C}">
                  <a14:compatExt spid="_x0000_s85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85030" name="Check Box 38" hidden="1">
              <a:extLst>
                <a:ext uri="{63B3BB69-23CF-44E3-9099-C40C66FF867C}">
                  <a14:compatExt spid="_x0000_s85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85031" name="Check Box 39" hidden="1">
              <a:extLst>
                <a:ext uri="{63B3BB69-23CF-44E3-9099-C40C66FF867C}">
                  <a14:compatExt spid="_x0000_s85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85032" name="Check Box 40" hidden="1">
              <a:extLst>
                <a:ext uri="{63B3BB69-23CF-44E3-9099-C40C66FF867C}">
                  <a14:compatExt spid="_x0000_s85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85033" name="Check Box 41" hidden="1">
              <a:extLst>
                <a:ext uri="{63B3BB69-23CF-44E3-9099-C40C66FF867C}">
                  <a14:compatExt spid="_x0000_s85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85034" name="Check Box 42" hidden="1">
              <a:extLst>
                <a:ext uri="{63B3BB69-23CF-44E3-9099-C40C66FF867C}">
                  <a14:compatExt spid="_x0000_s85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5035" name="Check Box 43" hidden="1">
              <a:extLst>
                <a:ext uri="{63B3BB69-23CF-44E3-9099-C40C66FF867C}">
                  <a14:compatExt spid="_x0000_s85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5036" name="Check Box 44" hidden="1">
              <a:extLst>
                <a:ext uri="{63B3BB69-23CF-44E3-9099-C40C66FF867C}">
                  <a14:compatExt spid="_x0000_s85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</xdr:row>
          <xdr:rowOff>200025</xdr:rowOff>
        </xdr:from>
        <xdr:to>
          <xdr:col>3</xdr:col>
          <xdr:colOff>819150</xdr:colOff>
          <xdr:row>4</xdr:row>
          <xdr:rowOff>19050</xdr:rowOff>
        </xdr:to>
        <xdr:sp macro="" textlink="">
          <xdr:nvSpPr>
            <xdr:cNvPr id="85037" name="Check Box 45" hidden="1">
              <a:extLst>
                <a:ext uri="{63B3BB69-23CF-44E3-9099-C40C66FF867C}">
                  <a14:compatExt spid="_x0000_s85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5038" name="Check Box 46" hidden="1">
              <a:extLst>
                <a:ext uri="{63B3BB69-23CF-44E3-9099-C40C66FF867C}">
                  <a14:compatExt spid="_x0000_s85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85039" name="Check Box 47" hidden="1">
              <a:extLst>
                <a:ext uri="{63B3BB69-23CF-44E3-9099-C40C66FF867C}">
                  <a14:compatExt spid="_x0000_s85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5040" name="Check Box 48" hidden="1">
              <a:extLst>
                <a:ext uri="{63B3BB69-23CF-44E3-9099-C40C66FF867C}">
                  <a14:compatExt spid="_x0000_s85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5041" name="Check Box 49" hidden="1">
              <a:extLst>
                <a:ext uri="{63B3BB69-23CF-44E3-9099-C40C66FF867C}">
                  <a14:compatExt spid="_x0000_s85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5042" name="Check Box 50" hidden="1">
              <a:extLst>
                <a:ext uri="{63B3BB69-23CF-44E3-9099-C40C66FF867C}">
                  <a14:compatExt spid="_x0000_s85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85043" name="Check Box 51" hidden="1">
              <a:extLst>
                <a:ext uri="{63B3BB69-23CF-44E3-9099-C40C66FF867C}">
                  <a14:compatExt spid="_x0000_s85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85044" name="Check Box 52" hidden="1">
              <a:extLst>
                <a:ext uri="{63B3BB69-23CF-44E3-9099-C40C66FF867C}">
                  <a14:compatExt spid="_x0000_s85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85045" name="Check Box 53" hidden="1">
              <a:extLst>
                <a:ext uri="{63B3BB69-23CF-44E3-9099-C40C66FF867C}">
                  <a14:compatExt spid="_x0000_s85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85046" name="Check Box 54" hidden="1">
              <a:extLst>
                <a:ext uri="{63B3BB69-23CF-44E3-9099-C40C66FF867C}">
                  <a14:compatExt spid="_x0000_s85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85047" name="Check Box 55" hidden="1">
              <a:extLst>
                <a:ext uri="{63B3BB69-23CF-44E3-9099-C40C66FF867C}">
                  <a14:compatExt spid="_x0000_s85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85048" name="Check Box 56" hidden="1">
              <a:extLst>
                <a:ext uri="{63B3BB69-23CF-44E3-9099-C40C66FF867C}">
                  <a14:compatExt spid="_x0000_s85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200025</xdr:rowOff>
        </xdr:from>
        <xdr:to>
          <xdr:col>1</xdr:col>
          <xdr:colOff>0</xdr:colOff>
          <xdr:row>4</xdr:row>
          <xdr:rowOff>57150</xdr:rowOff>
        </xdr:to>
        <xdr:sp macro="" textlink="">
          <xdr:nvSpPr>
            <xdr:cNvPr id="85049" name="交换" hidden="1">
              <a:extLst>
                <a:ext uri="{63B3BB69-23CF-44E3-9099-C40C66FF867C}">
                  <a14:compatExt spid="_x0000_s85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5</xdr:row>
          <xdr:rowOff>104775</xdr:rowOff>
        </xdr:from>
        <xdr:to>
          <xdr:col>1</xdr:col>
          <xdr:colOff>0</xdr:colOff>
          <xdr:row>6</xdr:row>
          <xdr:rowOff>142875</xdr:rowOff>
        </xdr:to>
        <xdr:sp macro="" textlink="">
          <xdr:nvSpPr>
            <xdr:cNvPr id="85050" name="stage2" hidden="1">
              <a:extLst>
                <a:ext uri="{63B3BB69-23CF-44E3-9099-C40C66FF867C}">
                  <a14:compatExt spid="_x0000_s85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8</xdr:row>
          <xdr:rowOff>38100</xdr:rowOff>
        </xdr:from>
        <xdr:to>
          <xdr:col>1</xdr:col>
          <xdr:colOff>0</xdr:colOff>
          <xdr:row>9</xdr:row>
          <xdr:rowOff>114300</xdr:rowOff>
        </xdr:to>
        <xdr:sp macro="" textlink="">
          <xdr:nvSpPr>
            <xdr:cNvPr id="85051" name="stage_num_set" hidden="1">
              <a:extLst>
                <a:ext uri="{63B3BB69-23CF-44E3-9099-C40C66FF867C}">
                  <a14:compatExt spid="_x0000_s85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9</xdr:row>
          <xdr:rowOff>114300</xdr:rowOff>
        </xdr:from>
        <xdr:to>
          <xdr:col>1</xdr:col>
          <xdr:colOff>0</xdr:colOff>
          <xdr:row>10</xdr:row>
          <xdr:rowOff>152400</xdr:rowOff>
        </xdr:to>
        <xdr:sp macro="" textlink="">
          <xdr:nvSpPr>
            <xdr:cNvPr id="85052" name="stage_num" hidden="1">
              <a:extLst>
                <a:ext uri="{63B3BB69-23CF-44E3-9099-C40C66FF867C}">
                  <a14:compatExt spid="_x0000_s85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4</xdr:row>
          <xdr:rowOff>57150</xdr:rowOff>
        </xdr:from>
        <xdr:to>
          <xdr:col>1</xdr:col>
          <xdr:colOff>0</xdr:colOff>
          <xdr:row>5</xdr:row>
          <xdr:rowOff>104775</xdr:rowOff>
        </xdr:to>
        <xdr:sp macro="" textlink="">
          <xdr:nvSpPr>
            <xdr:cNvPr id="85053" name="stage1" hidden="1">
              <a:extLst>
                <a:ext uri="{63B3BB69-23CF-44E3-9099-C40C66FF867C}">
                  <a14:compatExt spid="_x0000_s85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200025</xdr:rowOff>
        </xdr:from>
        <xdr:to>
          <xdr:col>4</xdr:col>
          <xdr:colOff>819150</xdr:colOff>
          <xdr:row>4</xdr:row>
          <xdr:rowOff>19050</xdr:rowOff>
        </xdr:to>
        <xdr:sp macro="" textlink="">
          <xdr:nvSpPr>
            <xdr:cNvPr id="87041" name="Check Box 1" hidden="1">
              <a:extLst>
                <a:ext uri="{63B3BB69-23CF-44E3-9099-C40C66FF867C}">
                  <a14:compatExt spid="_x0000_s87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87042" name="Check Box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87043" name="Check Box 3" hidden="1">
              <a:extLst>
                <a:ext uri="{63B3BB69-23CF-44E3-9099-C40C66FF867C}">
                  <a14:compatExt spid="_x0000_s87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87044" name="Check Box 4" hidden="1">
              <a:extLst>
                <a:ext uri="{63B3BB69-23CF-44E3-9099-C40C66FF867C}">
                  <a14:compatExt spid="_x0000_s87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87045" name="Check Box 5" hidden="1">
              <a:extLst>
                <a:ext uri="{63B3BB69-23CF-44E3-9099-C40C66FF867C}">
                  <a14:compatExt spid="_x0000_s87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87046" name="Check Box 6" hidden="1">
              <a:extLst>
                <a:ext uri="{63B3BB69-23CF-44E3-9099-C40C66FF867C}">
                  <a14:compatExt spid="_x0000_s87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87047" name="Check Box 7" hidden="1">
              <a:extLst>
                <a:ext uri="{63B3BB69-23CF-44E3-9099-C40C66FF867C}">
                  <a14:compatExt spid="_x0000_s87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87048" name="Check Box 8" hidden="1">
              <a:extLst>
                <a:ext uri="{63B3BB69-23CF-44E3-9099-C40C66FF867C}">
                  <a14:compatExt spid="_x0000_s87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87049" name="Check Box 9" hidden="1">
              <a:extLst>
                <a:ext uri="{63B3BB69-23CF-44E3-9099-C40C66FF867C}">
                  <a14:compatExt spid="_x0000_s87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87050" name="Check Box 10" hidden="1">
              <a:extLst>
                <a:ext uri="{63B3BB69-23CF-44E3-9099-C40C66FF867C}">
                  <a14:compatExt spid="_x0000_s87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87051" name="Check Box 11" hidden="1">
              <a:extLst>
                <a:ext uri="{63B3BB69-23CF-44E3-9099-C40C66FF867C}">
                  <a14:compatExt spid="_x0000_s87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7052" name="Check Box 12" hidden="1">
              <a:extLst>
                <a:ext uri="{63B3BB69-23CF-44E3-9099-C40C66FF867C}">
                  <a14:compatExt spid="_x0000_s87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200025</xdr:rowOff>
        </xdr:from>
        <xdr:to>
          <xdr:col>4</xdr:col>
          <xdr:colOff>819150</xdr:colOff>
          <xdr:row>4</xdr:row>
          <xdr:rowOff>19050</xdr:rowOff>
        </xdr:to>
        <xdr:sp macro="" textlink="">
          <xdr:nvSpPr>
            <xdr:cNvPr id="87053" name="Check Box 13" hidden="1">
              <a:extLst>
                <a:ext uri="{63B3BB69-23CF-44E3-9099-C40C66FF867C}">
                  <a14:compatExt spid="_x0000_s87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87054" name="Check Box 14" hidden="1">
              <a:extLst>
                <a:ext uri="{63B3BB69-23CF-44E3-9099-C40C66FF867C}">
                  <a14:compatExt spid="_x0000_s87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87055" name="Check Box 15" hidden="1">
              <a:extLst>
                <a:ext uri="{63B3BB69-23CF-44E3-9099-C40C66FF867C}">
                  <a14:compatExt spid="_x0000_s87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87056" name="Check Box 16" hidden="1">
              <a:extLst>
                <a:ext uri="{63B3BB69-23CF-44E3-9099-C40C66FF867C}">
                  <a14:compatExt spid="_x0000_s87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87057" name="Check Box 17" hidden="1">
              <a:extLst>
                <a:ext uri="{63B3BB69-23CF-44E3-9099-C40C66FF867C}">
                  <a14:compatExt spid="_x0000_s87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87058" name="Check Box 18" hidden="1">
              <a:extLst>
                <a:ext uri="{63B3BB69-23CF-44E3-9099-C40C66FF867C}">
                  <a14:compatExt spid="_x0000_s87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87059" name="Check Box 19" hidden="1">
              <a:extLst>
                <a:ext uri="{63B3BB69-23CF-44E3-9099-C40C66FF867C}">
                  <a14:compatExt spid="_x0000_s87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87060" name="Check Box 20" hidden="1">
              <a:extLst>
                <a:ext uri="{63B3BB69-23CF-44E3-9099-C40C66FF867C}">
                  <a14:compatExt spid="_x0000_s87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87061" name="Check Box 21" hidden="1">
              <a:extLst>
                <a:ext uri="{63B3BB69-23CF-44E3-9099-C40C66FF867C}">
                  <a14:compatExt spid="_x0000_s87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87062" name="Check Box 22" hidden="1">
              <a:extLst>
                <a:ext uri="{63B3BB69-23CF-44E3-9099-C40C66FF867C}">
                  <a14:compatExt spid="_x0000_s87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87063" name="Check Box 23" hidden="1">
              <a:extLst>
                <a:ext uri="{63B3BB69-23CF-44E3-9099-C40C66FF867C}">
                  <a14:compatExt spid="_x0000_s87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87064" name="Check Box 24" hidden="1">
              <a:extLst>
                <a:ext uri="{63B3BB69-23CF-44E3-9099-C40C66FF867C}">
                  <a14:compatExt spid="_x0000_s87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87065" name="Check Box 25" hidden="1">
              <a:extLst>
                <a:ext uri="{63B3BB69-23CF-44E3-9099-C40C66FF867C}">
                  <a14:compatExt spid="_x0000_s87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87066" name="Check Box 26" hidden="1">
              <a:extLst>
                <a:ext uri="{63B3BB69-23CF-44E3-9099-C40C66FF867C}">
                  <a14:compatExt spid="_x0000_s87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87067" name="Check Box 27" hidden="1">
              <a:extLst>
                <a:ext uri="{63B3BB69-23CF-44E3-9099-C40C66FF867C}">
                  <a14:compatExt spid="_x0000_s87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87068" name="Check Box 28" hidden="1">
              <a:extLst>
                <a:ext uri="{63B3BB69-23CF-44E3-9099-C40C66FF867C}">
                  <a14:compatExt spid="_x0000_s87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87069" name="Check Box 29" hidden="1">
              <a:extLst>
                <a:ext uri="{63B3BB69-23CF-44E3-9099-C40C66FF867C}">
                  <a14:compatExt spid="_x0000_s87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87070" name="Check Box 30" hidden="1">
              <a:extLst>
                <a:ext uri="{63B3BB69-23CF-44E3-9099-C40C66FF867C}">
                  <a14:compatExt spid="_x0000_s87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87071" name="Check Box 31" hidden="1">
              <a:extLst>
                <a:ext uri="{63B3BB69-23CF-44E3-9099-C40C66FF867C}">
                  <a14:compatExt spid="_x0000_s87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87072" name="Check Box 32" hidden="1">
              <a:extLst>
                <a:ext uri="{63B3BB69-23CF-44E3-9099-C40C66FF867C}">
                  <a14:compatExt spid="_x0000_s87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87073" name="Check Box 33" hidden="1">
              <a:extLst>
                <a:ext uri="{63B3BB69-23CF-44E3-9099-C40C66FF867C}">
                  <a14:compatExt spid="_x0000_s87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87074" name="Check Box 34" hidden="1">
              <a:extLst>
                <a:ext uri="{63B3BB69-23CF-44E3-9099-C40C66FF867C}">
                  <a14:compatExt spid="_x0000_s87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87075" name="Check Box 35" hidden="1">
              <a:extLst>
                <a:ext uri="{63B3BB69-23CF-44E3-9099-C40C66FF867C}">
                  <a14:compatExt spid="_x0000_s87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87076" name="Check Box 36" hidden="1">
              <a:extLst>
                <a:ext uri="{63B3BB69-23CF-44E3-9099-C40C66FF867C}">
                  <a14:compatExt spid="_x0000_s87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87077" name="Check Box 37" hidden="1">
              <a:extLst>
                <a:ext uri="{63B3BB69-23CF-44E3-9099-C40C66FF867C}">
                  <a14:compatExt spid="_x0000_s87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87078" name="Check Box 38" hidden="1">
              <a:extLst>
                <a:ext uri="{63B3BB69-23CF-44E3-9099-C40C66FF867C}">
                  <a14:compatExt spid="_x0000_s87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87079" name="Check Box 39" hidden="1">
              <a:extLst>
                <a:ext uri="{63B3BB69-23CF-44E3-9099-C40C66FF867C}">
                  <a14:compatExt spid="_x0000_s87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87080" name="Check Box 40" hidden="1">
              <a:extLst>
                <a:ext uri="{63B3BB69-23CF-44E3-9099-C40C66FF867C}">
                  <a14:compatExt spid="_x0000_s87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87081" name="Check Box 41" hidden="1">
              <a:extLst>
                <a:ext uri="{63B3BB69-23CF-44E3-9099-C40C66FF867C}">
                  <a14:compatExt spid="_x0000_s87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87082" name="Check Box 42" hidden="1">
              <a:extLst>
                <a:ext uri="{63B3BB69-23CF-44E3-9099-C40C66FF867C}">
                  <a14:compatExt spid="_x0000_s87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7083" name="Check Box 43" hidden="1">
              <a:extLst>
                <a:ext uri="{63B3BB69-23CF-44E3-9099-C40C66FF867C}">
                  <a14:compatExt spid="_x0000_s87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7084" name="Check Box 44" hidden="1">
              <a:extLst>
                <a:ext uri="{63B3BB69-23CF-44E3-9099-C40C66FF867C}">
                  <a14:compatExt spid="_x0000_s87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</xdr:row>
          <xdr:rowOff>200025</xdr:rowOff>
        </xdr:from>
        <xdr:to>
          <xdr:col>3</xdr:col>
          <xdr:colOff>819150</xdr:colOff>
          <xdr:row>4</xdr:row>
          <xdr:rowOff>19050</xdr:rowOff>
        </xdr:to>
        <xdr:sp macro="" textlink="">
          <xdr:nvSpPr>
            <xdr:cNvPr id="87085" name="Check Box 45" hidden="1">
              <a:extLst>
                <a:ext uri="{63B3BB69-23CF-44E3-9099-C40C66FF867C}">
                  <a14:compatExt spid="_x0000_s87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7086" name="Check Box 46" hidden="1">
              <a:extLst>
                <a:ext uri="{63B3BB69-23CF-44E3-9099-C40C66FF867C}">
                  <a14:compatExt spid="_x0000_s87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87087" name="Check Box 47" hidden="1">
              <a:extLst>
                <a:ext uri="{63B3BB69-23CF-44E3-9099-C40C66FF867C}">
                  <a14:compatExt spid="_x0000_s87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7088" name="Check Box 48" hidden="1">
              <a:extLst>
                <a:ext uri="{63B3BB69-23CF-44E3-9099-C40C66FF867C}">
                  <a14:compatExt spid="_x0000_s87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7089" name="Check Box 49" hidden="1">
              <a:extLst>
                <a:ext uri="{63B3BB69-23CF-44E3-9099-C40C66FF867C}">
                  <a14:compatExt spid="_x0000_s87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7090" name="Check Box 50" hidden="1">
              <a:extLst>
                <a:ext uri="{63B3BB69-23CF-44E3-9099-C40C66FF867C}">
                  <a14:compatExt spid="_x0000_s87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87091" name="Check Box 51" hidden="1">
              <a:extLst>
                <a:ext uri="{63B3BB69-23CF-44E3-9099-C40C66FF867C}">
                  <a14:compatExt spid="_x0000_s87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87092" name="Check Box 52" hidden="1">
              <a:extLst>
                <a:ext uri="{63B3BB69-23CF-44E3-9099-C40C66FF867C}">
                  <a14:compatExt spid="_x0000_s87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87093" name="Check Box 53" hidden="1">
              <a:extLst>
                <a:ext uri="{63B3BB69-23CF-44E3-9099-C40C66FF867C}">
                  <a14:compatExt spid="_x0000_s87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87094" name="Check Box 54" hidden="1">
              <a:extLst>
                <a:ext uri="{63B3BB69-23CF-44E3-9099-C40C66FF867C}">
                  <a14:compatExt spid="_x0000_s87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87095" name="Check Box 55" hidden="1">
              <a:extLst>
                <a:ext uri="{63B3BB69-23CF-44E3-9099-C40C66FF867C}">
                  <a14:compatExt spid="_x0000_s87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87096" name="Check Box 56" hidden="1">
              <a:extLst>
                <a:ext uri="{63B3BB69-23CF-44E3-9099-C40C66FF867C}">
                  <a14:compatExt spid="_x0000_s87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200025</xdr:rowOff>
        </xdr:from>
        <xdr:to>
          <xdr:col>1</xdr:col>
          <xdr:colOff>0</xdr:colOff>
          <xdr:row>4</xdr:row>
          <xdr:rowOff>57150</xdr:rowOff>
        </xdr:to>
        <xdr:sp macro="" textlink="">
          <xdr:nvSpPr>
            <xdr:cNvPr id="87097" name="交换" hidden="1">
              <a:extLst>
                <a:ext uri="{63B3BB69-23CF-44E3-9099-C40C66FF867C}">
                  <a14:compatExt spid="_x0000_s87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5</xdr:row>
          <xdr:rowOff>104775</xdr:rowOff>
        </xdr:from>
        <xdr:to>
          <xdr:col>1</xdr:col>
          <xdr:colOff>0</xdr:colOff>
          <xdr:row>6</xdr:row>
          <xdr:rowOff>76200</xdr:rowOff>
        </xdr:to>
        <xdr:sp macro="" textlink="">
          <xdr:nvSpPr>
            <xdr:cNvPr id="87098" name="stage2" hidden="1">
              <a:extLst>
                <a:ext uri="{63B3BB69-23CF-44E3-9099-C40C66FF867C}">
                  <a14:compatExt spid="_x0000_s87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8</xdr:row>
          <xdr:rowOff>38100</xdr:rowOff>
        </xdr:from>
        <xdr:to>
          <xdr:col>1</xdr:col>
          <xdr:colOff>0</xdr:colOff>
          <xdr:row>9</xdr:row>
          <xdr:rowOff>114300</xdr:rowOff>
        </xdr:to>
        <xdr:sp macro="" textlink="">
          <xdr:nvSpPr>
            <xdr:cNvPr id="87099" name="stage_num_set" hidden="1">
              <a:extLst>
                <a:ext uri="{63B3BB69-23CF-44E3-9099-C40C66FF867C}">
                  <a14:compatExt spid="_x0000_s87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9</xdr:row>
          <xdr:rowOff>114300</xdr:rowOff>
        </xdr:from>
        <xdr:to>
          <xdr:col>1</xdr:col>
          <xdr:colOff>0</xdr:colOff>
          <xdr:row>10</xdr:row>
          <xdr:rowOff>152400</xdr:rowOff>
        </xdr:to>
        <xdr:sp macro="" textlink="">
          <xdr:nvSpPr>
            <xdr:cNvPr id="87100" name="stage_num" hidden="1">
              <a:extLst>
                <a:ext uri="{63B3BB69-23CF-44E3-9099-C40C66FF867C}">
                  <a14:compatExt spid="_x0000_s87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4</xdr:row>
          <xdr:rowOff>57150</xdr:rowOff>
        </xdr:from>
        <xdr:to>
          <xdr:col>1</xdr:col>
          <xdr:colOff>0</xdr:colOff>
          <xdr:row>5</xdr:row>
          <xdr:rowOff>104775</xdr:rowOff>
        </xdr:to>
        <xdr:sp macro="" textlink="">
          <xdr:nvSpPr>
            <xdr:cNvPr id="87101" name="stage1" hidden="1">
              <a:extLst>
                <a:ext uri="{63B3BB69-23CF-44E3-9099-C40C66FF867C}">
                  <a14:compatExt spid="_x0000_s87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200025</xdr:rowOff>
        </xdr:from>
        <xdr:to>
          <xdr:col>4</xdr:col>
          <xdr:colOff>819150</xdr:colOff>
          <xdr:row>4</xdr:row>
          <xdr:rowOff>19050</xdr:rowOff>
        </xdr:to>
        <xdr:sp macro="" textlink="">
          <xdr:nvSpPr>
            <xdr:cNvPr id="86017" name="Check Box 1" hidden="1">
              <a:extLst>
                <a:ext uri="{63B3BB69-23CF-44E3-9099-C40C66FF867C}">
                  <a14:compatExt spid="_x0000_s86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86018" name="Check Box 2" hidden="1">
              <a:extLst>
                <a:ext uri="{63B3BB69-23CF-44E3-9099-C40C66FF867C}">
                  <a14:compatExt spid="_x0000_s86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86019" name="Check Box 3" hidden="1">
              <a:extLst>
                <a:ext uri="{63B3BB69-23CF-44E3-9099-C40C66FF867C}">
                  <a14:compatExt spid="_x0000_s86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86020" name="Check Box 4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86021" name="Check Box 5" hidden="1">
              <a:extLst>
                <a:ext uri="{63B3BB69-23CF-44E3-9099-C40C66FF867C}">
                  <a14:compatExt spid="_x0000_s86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86022" name="Check Box 6" hidden="1">
              <a:extLst>
                <a:ext uri="{63B3BB69-23CF-44E3-9099-C40C66FF867C}">
                  <a14:compatExt spid="_x0000_s86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86023" name="Check Box 7" hidden="1">
              <a:extLst>
                <a:ext uri="{63B3BB69-23CF-44E3-9099-C40C66FF867C}">
                  <a14:compatExt spid="_x0000_s86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86024" name="Check Box 8" hidden="1">
              <a:extLst>
                <a:ext uri="{63B3BB69-23CF-44E3-9099-C40C66FF867C}">
                  <a14:compatExt spid="_x0000_s86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86025" name="Check Box 9" hidden="1">
              <a:extLst>
                <a:ext uri="{63B3BB69-23CF-44E3-9099-C40C66FF867C}">
                  <a14:compatExt spid="_x0000_s86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86026" name="Check Box 10" hidden="1">
              <a:extLst>
                <a:ext uri="{63B3BB69-23CF-44E3-9099-C40C66FF867C}">
                  <a14:compatExt spid="_x0000_s86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86027" name="Check Box 11" hidden="1">
              <a:extLst>
                <a:ext uri="{63B3BB69-23CF-44E3-9099-C40C66FF867C}">
                  <a14:compatExt spid="_x0000_s86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6028" name="Check Box 12" hidden="1">
              <a:extLst>
                <a:ext uri="{63B3BB69-23CF-44E3-9099-C40C66FF867C}">
                  <a14:compatExt spid="_x0000_s86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200025</xdr:rowOff>
        </xdr:from>
        <xdr:to>
          <xdr:col>4</xdr:col>
          <xdr:colOff>819150</xdr:colOff>
          <xdr:row>4</xdr:row>
          <xdr:rowOff>19050</xdr:rowOff>
        </xdr:to>
        <xdr:sp macro="" textlink="">
          <xdr:nvSpPr>
            <xdr:cNvPr id="86029" name="Check Box 13" hidden="1">
              <a:extLst>
                <a:ext uri="{63B3BB69-23CF-44E3-9099-C40C66FF867C}">
                  <a14:compatExt spid="_x0000_s86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86030" name="Check Box 14" hidden="1">
              <a:extLst>
                <a:ext uri="{63B3BB69-23CF-44E3-9099-C40C66FF867C}">
                  <a14:compatExt spid="_x0000_s86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86031" name="Check Box 15" hidden="1">
              <a:extLst>
                <a:ext uri="{63B3BB69-23CF-44E3-9099-C40C66FF867C}">
                  <a14:compatExt spid="_x0000_s86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86032" name="Check Box 16" hidden="1">
              <a:extLst>
                <a:ext uri="{63B3BB69-23CF-44E3-9099-C40C66FF867C}">
                  <a14:compatExt spid="_x0000_s86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86033" name="Check Box 17" hidden="1">
              <a:extLst>
                <a:ext uri="{63B3BB69-23CF-44E3-9099-C40C66FF867C}">
                  <a14:compatExt spid="_x0000_s86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86034" name="Check Box 18" hidden="1">
              <a:extLst>
                <a:ext uri="{63B3BB69-23CF-44E3-9099-C40C66FF867C}">
                  <a14:compatExt spid="_x0000_s86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86035" name="Check Box 19" hidden="1">
              <a:extLst>
                <a:ext uri="{63B3BB69-23CF-44E3-9099-C40C66FF867C}">
                  <a14:compatExt spid="_x0000_s86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86036" name="Check Box 20" hidden="1">
              <a:extLst>
                <a:ext uri="{63B3BB69-23CF-44E3-9099-C40C66FF867C}">
                  <a14:compatExt spid="_x0000_s86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86037" name="Check Box 21" hidden="1">
              <a:extLst>
                <a:ext uri="{63B3BB69-23CF-44E3-9099-C40C66FF867C}">
                  <a14:compatExt spid="_x0000_s86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86038" name="Check Box 22" hidden="1">
              <a:extLst>
                <a:ext uri="{63B3BB69-23CF-44E3-9099-C40C66FF867C}">
                  <a14:compatExt spid="_x0000_s86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86039" name="Check Box 23" hidden="1">
              <a:extLst>
                <a:ext uri="{63B3BB69-23CF-44E3-9099-C40C66FF867C}">
                  <a14:compatExt spid="_x0000_s86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86040" name="Check Box 24" hidden="1">
              <a:extLst>
                <a:ext uri="{63B3BB69-23CF-44E3-9099-C40C66FF867C}">
                  <a14:compatExt spid="_x0000_s86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86041" name="Check Box 25" hidden="1">
              <a:extLst>
                <a:ext uri="{63B3BB69-23CF-44E3-9099-C40C66FF867C}">
                  <a14:compatExt spid="_x0000_s86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86042" name="Check Box 26" hidden="1">
              <a:extLst>
                <a:ext uri="{63B3BB69-23CF-44E3-9099-C40C66FF867C}">
                  <a14:compatExt spid="_x0000_s86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86043" name="Check Box 27" hidden="1">
              <a:extLst>
                <a:ext uri="{63B3BB69-23CF-44E3-9099-C40C66FF867C}">
                  <a14:compatExt spid="_x0000_s86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86044" name="Check Box 28" hidden="1">
              <a:extLst>
                <a:ext uri="{63B3BB69-23CF-44E3-9099-C40C66FF867C}">
                  <a14:compatExt spid="_x0000_s86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86045" name="Check Box 29" hidden="1">
              <a:extLst>
                <a:ext uri="{63B3BB69-23CF-44E3-9099-C40C66FF867C}">
                  <a14:compatExt spid="_x0000_s86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86046" name="Check Box 30" hidden="1">
              <a:extLst>
                <a:ext uri="{63B3BB69-23CF-44E3-9099-C40C66FF867C}">
                  <a14:compatExt spid="_x0000_s86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86047" name="Check Box 31" hidden="1">
              <a:extLst>
                <a:ext uri="{63B3BB69-23CF-44E3-9099-C40C66FF867C}">
                  <a14:compatExt spid="_x0000_s86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86048" name="Check Box 32" hidden="1">
              <a:extLst>
                <a:ext uri="{63B3BB69-23CF-44E3-9099-C40C66FF867C}">
                  <a14:compatExt spid="_x0000_s86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86049" name="Check Box 33" hidden="1">
              <a:extLst>
                <a:ext uri="{63B3BB69-23CF-44E3-9099-C40C66FF867C}">
                  <a14:compatExt spid="_x0000_s86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86050" name="Check Box 34" hidden="1">
              <a:extLst>
                <a:ext uri="{63B3BB69-23CF-44E3-9099-C40C66FF867C}">
                  <a14:compatExt spid="_x0000_s86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86051" name="Check Box 35" hidden="1">
              <a:extLst>
                <a:ext uri="{63B3BB69-23CF-44E3-9099-C40C66FF867C}">
                  <a14:compatExt spid="_x0000_s86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86052" name="Check Box 36" hidden="1">
              <a:extLst>
                <a:ext uri="{63B3BB69-23CF-44E3-9099-C40C66FF867C}">
                  <a14:compatExt spid="_x0000_s86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86053" name="Check Box 37" hidden="1">
              <a:extLst>
                <a:ext uri="{63B3BB69-23CF-44E3-9099-C40C66FF867C}">
                  <a14:compatExt spid="_x0000_s86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86054" name="Check Box 38" hidden="1">
              <a:extLst>
                <a:ext uri="{63B3BB69-23CF-44E3-9099-C40C66FF867C}">
                  <a14:compatExt spid="_x0000_s86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86055" name="Check Box 39" hidden="1">
              <a:extLst>
                <a:ext uri="{63B3BB69-23CF-44E3-9099-C40C66FF867C}">
                  <a14:compatExt spid="_x0000_s86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86056" name="Check Box 40" hidden="1">
              <a:extLst>
                <a:ext uri="{63B3BB69-23CF-44E3-9099-C40C66FF867C}">
                  <a14:compatExt spid="_x0000_s86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86057" name="Check Box 41" hidden="1">
              <a:extLst>
                <a:ext uri="{63B3BB69-23CF-44E3-9099-C40C66FF867C}">
                  <a14:compatExt spid="_x0000_s86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86058" name="Check Box 42" hidden="1">
              <a:extLst>
                <a:ext uri="{63B3BB69-23CF-44E3-9099-C40C66FF867C}">
                  <a14:compatExt spid="_x0000_s86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6059" name="Check Box 43" hidden="1">
              <a:extLst>
                <a:ext uri="{63B3BB69-23CF-44E3-9099-C40C66FF867C}">
                  <a14:compatExt spid="_x0000_s86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6060" name="Check Box 44" hidden="1">
              <a:extLst>
                <a:ext uri="{63B3BB69-23CF-44E3-9099-C40C66FF867C}">
                  <a14:compatExt spid="_x0000_s86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</xdr:row>
          <xdr:rowOff>200025</xdr:rowOff>
        </xdr:from>
        <xdr:to>
          <xdr:col>3</xdr:col>
          <xdr:colOff>819150</xdr:colOff>
          <xdr:row>4</xdr:row>
          <xdr:rowOff>19050</xdr:rowOff>
        </xdr:to>
        <xdr:sp macro="" textlink="">
          <xdr:nvSpPr>
            <xdr:cNvPr id="86061" name="Check Box 45" hidden="1">
              <a:extLst>
                <a:ext uri="{63B3BB69-23CF-44E3-9099-C40C66FF867C}">
                  <a14:compatExt spid="_x0000_s86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6062" name="Check Box 46" hidden="1">
              <a:extLst>
                <a:ext uri="{63B3BB69-23CF-44E3-9099-C40C66FF867C}">
                  <a14:compatExt spid="_x0000_s86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86063" name="Check Box 47" hidden="1">
              <a:extLst>
                <a:ext uri="{63B3BB69-23CF-44E3-9099-C40C66FF867C}">
                  <a14:compatExt spid="_x0000_s86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6064" name="Check Box 48" hidden="1">
              <a:extLst>
                <a:ext uri="{63B3BB69-23CF-44E3-9099-C40C66FF867C}">
                  <a14:compatExt spid="_x0000_s86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6065" name="Check Box 49" hidden="1">
              <a:extLst>
                <a:ext uri="{63B3BB69-23CF-44E3-9099-C40C66FF867C}">
                  <a14:compatExt spid="_x0000_s86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6066" name="Check Box 50" hidden="1">
              <a:extLst>
                <a:ext uri="{63B3BB69-23CF-44E3-9099-C40C66FF867C}">
                  <a14:compatExt spid="_x0000_s86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86067" name="Check Box 51" hidden="1">
              <a:extLst>
                <a:ext uri="{63B3BB69-23CF-44E3-9099-C40C66FF867C}">
                  <a14:compatExt spid="_x0000_s86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86068" name="Check Box 52" hidden="1">
              <a:extLst>
                <a:ext uri="{63B3BB69-23CF-44E3-9099-C40C66FF867C}">
                  <a14:compatExt spid="_x0000_s86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86069" name="Check Box 53" hidden="1">
              <a:extLst>
                <a:ext uri="{63B3BB69-23CF-44E3-9099-C40C66FF867C}">
                  <a14:compatExt spid="_x0000_s86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86070" name="Check Box 54" hidden="1">
              <a:extLst>
                <a:ext uri="{63B3BB69-23CF-44E3-9099-C40C66FF867C}">
                  <a14:compatExt spid="_x0000_s86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86071" name="Check Box 55" hidden="1">
              <a:extLst>
                <a:ext uri="{63B3BB69-23CF-44E3-9099-C40C66FF867C}">
                  <a14:compatExt spid="_x0000_s86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86072" name="Check Box 56" hidden="1">
              <a:extLst>
                <a:ext uri="{63B3BB69-23CF-44E3-9099-C40C66FF867C}">
                  <a14:compatExt spid="_x0000_s86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200025</xdr:rowOff>
        </xdr:from>
        <xdr:to>
          <xdr:col>1</xdr:col>
          <xdr:colOff>0</xdr:colOff>
          <xdr:row>4</xdr:row>
          <xdr:rowOff>57150</xdr:rowOff>
        </xdr:to>
        <xdr:sp macro="" textlink="">
          <xdr:nvSpPr>
            <xdr:cNvPr id="86073" name="交换" hidden="1">
              <a:extLst>
                <a:ext uri="{63B3BB69-23CF-44E3-9099-C40C66FF867C}">
                  <a14:compatExt spid="_x0000_s86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5</xdr:row>
          <xdr:rowOff>104775</xdr:rowOff>
        </xdr:from>
        <xdr:to>
          <xdr:col>1</xdr:col>
          <xdr:colOff>0</xdr:colOff>
          <xdr:row>6</xdr:row>
          <xdr:rowOff>142875</xdr:rowOff>
        </xdr:to>
        <xdr:sp macro="" textlink="">
          <xdr:nvSpPr>
            <xdr:cNvPr id="86074" name="stage2" hidden="1">
              <a:extLst>
                <a:ext uri="{63B3BB69-23CF-44E3-9099-C40C66FF867C}">
                  <a14:compatExt spid="_x0000_s86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8</xdr:row>
          <xdr:rowOff>38100</xdr:rowOff>
        </xdr:from>
        <xdr:to>
          <xdr:col>1</xdr:col>
          <xdr:colOff>0</xdr:colOff>
          <xdr:row>9</xdr:row>
          <xdr:rowOff>114300</xdr:rowOff>
        </xdr:to>
        <xdr:sp macro="" textlink="">
          <xdr:nvSpPr>
            <xdr:cNvPr id="86075" name="stage_num_set" hidden="1">
              <a:extLst>
                <a:ext uri="{63B3BB69-23CF-44E3-9099-C40C66FF867C}">
                  <a14:compatExt spid="_x0000_s86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9</xdr:row>
          <xdr:rowOff>114300</xdr:rowOff>
        </xdr:from>
        <xdr:to>
          <xdr:col>1</xdr:col>
          <xdr:colOff>0</xdr:colOff>
          <xdr:row>10</xdr:row>
          <xdr:rowOff>152400</xdr:rowOff>
        </xdr:to>
        <xdr:sp macro="" textlink="">
          <xdr:nvSpPr>
            <xdr:cNvPr id="86076" name="stage_num" hidden="1">
              <a:extLst>
                <a:ext uri="{63B3BB69-23CF-44E3-9099-C40C66FF867C}">
                  <a14:compatExt spid="_x0000_s86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4</xdr:row>
          <xdr:rowOff>57150</xdr:rowOff>
        </xdr:from>
        <xdr:to>
          <xdr:col>1</xdr:col>
          <xdr:colOff>0</xdr:colOff>
          <xdr:row>5</xdr:row>
          <xdr:rowOff>104775</xdr:rowOff>
        </xdr:to>
        <xdr:sp macro="" textlink="">
          <xdr:nvSpPr>
            <xdr:cNvPr id="86077" name="stage1" hidden="1">
              <a:extLst>
                <a:ext uri="{63B3BB69-23CF-44E3-9099-C40C66FF867C}">
                  <a14:compatExt spid="_x0000_s86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200025</xdr:rowOff>
        </xdr:from>
        <xdr:to>
          <xdr:col>4</xdr:col>
          <xdr:colOff>819150</xdr:colOff>
          <xdr:row>4</xdr:row>
          <xdr:rowOff>19050</xdr:rowOff>
        </xdr:to>
        <xdr:sp macro="" textlink="">
          <xdr:nvSpPr>
            <xdr:cNvPr id="88065" name="Check Box 1" hidden="1">
              <a:extLst>
                <a:ext uri="{63B3BB69-23CF-44E3-9099-C40C66FF867C}">
                  <a14:compatExt spid="_x0000_s88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88066" name="Check Box 2" hidden="1">
              <a:extLst>
                <a:ext uri="{63B3BB69-23CF-44E3-9099-C40C66FF867C}">
                  <a14:compatExt spid="_x0000_s88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88067" name="Check Box 3" hidden="1">
              <a:extLst>
                <a:ext uri="{63B3BB69-23CF-44E3-9099-C40C66FF867C}">
                  <a14:compatExt spid="_x0000_s88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88068" name="Check Box 4" hidden="1">
              <a:extLst>
                <a:ext uri="{63B3BB69-23CF-44E3-9099-C40C66FF867C}">
                  <a14:compatExt spid="_x0000_s88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88069" name="Check Box 5" hidden="1">
              <a:extLst>
                <a:ext uri="{63B3BB69-23CF-44E3-9099-C40C66FF867C}">
                  <a14:compatExt spid="_x0000_s88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88070" name="Check Box 6" hidden="1">
              <a:extLst>
                <a:ext uri="{63B3BB69-23CF-44E3-9099-C40C66FF867C}">
                  <a14:compatExt spid="_x0000_s88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88071" name="Check Box 7" hidden="1">
              <a:extLst>
                <a:ext uri="{63B3BB69-23CF-44E3-9099-C40C66FF867C}">
                  <a14:compatExt spid="_x0000_s88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88072" name="Check Box 8" hidden="1">
              <a:extLst>
                <a:ext uri="{63B3BB69-23CF-44E3-9099-C40C66FF867C}">
                  <a14:compatExt spid="_x0000_s88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88073" name="Check Box 9" hidden="1">
              <a:extLst>
                <a:ext uri="{63B3BB69-23CF-44E3-9099-C40C66FF867C}">
                  <a14:compatExt spid="_x0000_s88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88074" name="Check Box 10" hidden="1">
              <a:extLst>
                <a:ext uri="{63B3BB69-23CF-44E3-9099-C40C66FF867C}">
                  <a14:compatExt spid="_x0000_s88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88075" name="Check Box 11" hidden="1">
              <a:extLst>
                <a:ext uri="{63B3BB69-23CF-44E3-9099-C40C66FF867C}">
                  <a14:compatExt spid="_x0000_s88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8076" name="Check Box 12" hidden="1">
              <a:extLst>
                <a:ext uri="{63B3BB69-23CF-44E3-9099-C40C66FF867C}">
                  <a14:compatExt spid="_x0000_s88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200025</xdr:rowOff>
        </xdr:from>
        <xdr:to>
          <xdr:col>4</xdr:col>
          <xdr:colOff>819150</xdr:colOff>
          <xdr:row>4</xdr:row>
          <xdr:rowOff>19050</xdr:rowOff>
        </xdr:to>
        <xdr:sp macro="" textlink="">
          <xdr:nvSpPr>
            <xdr:cNvPr id="88077" name="Check Box 13" hidden="1">
              <a:extLst>
                <a:ext uri="{63B3BB69-23CF-44E3-9099-C40C66FF867C}">
                  <a14:compatExt spid="_x0000_s88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88078" name="Check Box 14" hidden="1">
              <a:extLst>
                <a:ext uri="{63B3BB69-23CF-44E3-9099-C40C66FF867C}">
                  <a14:compatExt spid="_x0000_s88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88079" name="Check Box 15" hidden="1">
              <a:extLst>
                <a:ext uri="{63B3BB69-23CF-44E3-9099-C40C66FF867C}">
                  <a14:compatExt spid="_x0000_s88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88080" name="Check Box 16" hidden="1">
              <a:extLst>
                <a:ext uri="{63B3BB69-23CF-44E3-9099-C40C66FF867C}">
                  <a14:compatExt spid="_x0000_s88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88081" name="Check Box 17" hidden="1">
              <a:extLst>
                <a:ext uri="{63B3BB69-23CF-44E3-9099-C40C66FF867C}">
                  <a14:compatExt spid="_x0000_s88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88082" name="Check Box 18" hidden="1">
              <a:extLst>
                <a:ext uri="{63B3BB69-23CF-44E3-9099-C40C66FF867C}">
                  <a14:compatExt spid="_x0000_s88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88083" name="Check Box 19" hidden="1">
              <a:extLst>
                <a:ext uri="{63B3BB69-23CF-44E3-9099-C40C66FF867C}">
                  <a14:compatExt spid="_x0000_s88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88084" name="Check Box 20" hidden="1">
              <a:extLst>
                <a:ext uri="{63B3BB69-23CF-44E3-9099-C40C66FF867C}">
                  <a14:compatExt spid="_x0000_s88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88085" name="Check Box 21" hidden="1">
              <a:extLst>
                <a:ext uri="{63B3BB69-23CF-44E3-9099-C40C66FF867C}">
                  <a14:compatExt spid="_x0000_s88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88086" name="Check Box 22" hidden="1">
              <a:extLst>
                <a:ext uri="{63B3BB69-23CF-44E3-9099-C40C66FF867C}">
                  <a14:compatExt spid="_x0000_s88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88087" name="Check Box 23" hidden="1">
              <a:extLst>
                <a:ext uri="{63B3BB69-23CF-44E3-9099-C40C66FF867C}">
                  <a14:compatExt spid="_x0000_s88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88088" name="Check Box 24" hidden="1">
              <a:extLst>
                <a:ext uri="{63B3BB69-23CF-44E3-9099-C40C66FF867C}">
                  <a14:compatExt spid="_x0000_s88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88089" name="Check Box 25" hidden="1">
              <a:extLst>
                <a:ext uri="{63B3BB69-23CF-44E3-9099-C40C66FF867C}">
                  <a14:compatExt spid="_x0000_s88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88090" name="Check Box 26" hidden="1">
              <a:extLst>
                <a:ext uri="{63B3BB69-23CF-44E3-9099-C40C66FF867C}">
                  <a14:compatExt spid="_x0000_s88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88091" name="Check Box 27" hidden="1">
              <a:extLst>
                <a:ext uri="{63B3BB69-23CF-44E3-9099-C40C66FF867C}">
                  <a14:compatExt spid="_x0000_s88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88092" name="Check Box 28" hidden="1">
              <a:extLst>
                <a:ext uri="{63B3BB69-23CF-44E3-9099-C40C66FF867C}">
                  <a14:compatExt spid="_x0000_s88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88093" name="Check Box 29" hidden="1">
              <a:extLst>
                <a:ext uri="{63B3BB69-23CF-44E3-9099-C40C66FF867C}">
                  <a14:compatExt spid="_x0000_s88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88094" name="Check Box 30" hidden="1">
              <a:extLst>
                <a:ext uri="{63B3BB69-23CF-44E3-9099-C40C66FF867C}">
                  <a14:compatExt spid="_x0000_s88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88095" name="Check Box 31" hidden="1">
              <a:extLst>
                <a:ext uri="{63B3BB69-23CF-44E3-9099-C40C66FF867C}">
                  <a14:compatExt spid="_x0000_s88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88096" name="Check Box 32" hidden="1">
              <a:extLst>
                <a:ext uri="{63B3BB69-23CF-44E3-9099-C40C66FF867C}">
                  <a14:compatExt spid="_x0000_s88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88097" name="Check Box 33" hidden="1">
              <a:extLst>
                <a:ext uri="{63B3BB69-23CF-44E3-9099-C40C66FF867C}">
                  <a14:compatExt spid="_x0000_s88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88098" name="Check Box 34" hidden="1">
              <a:extLst>
                <a:ext uri="{63B3BB69-23CF-44E3-9099-C40C66FF867C}">
                  <a14:compatExt spid="_x0000_s88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88099" name="Check Box 35" hidden="1">
              <a:extLst>
                <a:ext uri="{63B3BB69-23CF-44E3-9099-C40C66FF867C}">
                  <a14:compatExt spid="_x0000_s88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88100" name="Check Box 36" hidden="1">
              <a:extLst>
                <a:ext uri="{63B3BB69-23CF-44E3-9099-C40C66FF867C}">
                  <a14:compatExt spid="_x0000_s88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88101" name="Check Box 37" hidden="1">
              <a:extLst>
                <a:ext uri="{63B3BB69-23CF-44E3-9099-C40C66FF867C}">
                  <a14:compatExt spid="_x0000_s88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88102" name="Check Box 38" hidden="1">
              <a:extLst>
                <a:ext uri="{63B3BB69-23CF-44E3-9099-C40C66FF867C}">
                  <a14:compatExt spid="_x0000_s88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88103" name="Check Box 39" hidden="1">
              <a:extLst>
                <a:ext uri="{63B3BB69-23CF-44E3-9099-C40C66FF867C}">
                  <a14:compatExt spid="_x0000_s88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88104" name="Check Box 40" hidden="1">
              <a:extLst>
                <a:ext uri="{63B3BB69-23CF-44E3-9099-C40C66FF867C}">
                  <a14:compatExt spid="_x0000_s88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88105" name="Check Box 41" hidden="1">
              <a:extLst>
                <a:ext uri="{63B3BB69-23CF-44E3-9099-C40C66FF867C}">
                  <a14:compatExt spid="_x0000_s88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88106" name="Check Box 42" hidden="1">
              <a:extLst>
                <a:ext uri="{63B3BB69-23CF-44E3-9099-C40C66FF867C}">
                  <a14:compatExt spid="_x0000_s88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8107" name="Check Box 43" hidden="1">
              <a:extLst>
                <a:ext uri="{63B3BB69-23CF-44E3-9099-C40C66FF867C}">
                  <a14:compatExt spid="_x0000_s88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8108" name="Check Box 44" hidden="1">
              <a:extLst>
                <a:ext uri="{63B3BB69-23CF-44E3-9099-C40C66FF867C}">
                  <a14:compatExt spid="_x0000_s88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</xdr:row>
          <xdr:rowOff>200025</xdr:rowOff>
        </xdr:from>
        <xdr:to>
          <xdr:col>3</xdr:col>
          <xdr:colOff>819150</xdr:colOff>
          <xdr:row>4</xdr:row>
          <xdr:rowOff>19050</xdr:rowOff>
        </xdr:to>
        <xdr:sp macro="" textlink="">
          <xdr:nvSpPr>
            <xdr:cNvPr id="88109" name="Check Box 45" hidden="1">
              <a:extLst>
                <a:ext uri="{63B3BB69-23CF-44E3-9099-C40C66FF867C}">
                  <a14:compatExt spid="_x0000_s88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8110" name="Check Box 46" hidden="1">
              <a:extLst>
                <a:ext uri="{63B3BB69-23CF-44E3-9099-C40C66FF867C}">
                  <a14:compatExt spid="_x0000_s88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88111" name="Check Box 47" hidden="1">
              <a:extLst>
                <a:ext uri="{63B3BB69-23CF-44E3-9099-C40C66FF867C}">
                  <a14:compatExt spid="_x0000_s88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8112" name="Check Box 48" hidden="1">
              <a:extLst>
                <a:ext uri="{63B3BB69-23CF-44E3-9099-C40C66FF867C}">
                  <a14:compatExt spid="_x0000_s88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8113" name="Check Box 49" hidden="1">
              <a:extLst>
                <a:ext uri="{63B3BB69-23CF-44E3-9099-C40C66FF867C}">
                  <a14:compatExt spid="_x0000_s88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8114" name="Check Box 50" hidden="1">
              <a:extLst>
                <a:ext uri="{63B3BB69-23CF-44E3-9099-C40C66FF867C}">
                  <a14:compatExt spid="_x0000_s88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88115" name="Check Box 51" hidden="1">
              <a:extLst>
                <a:ext uri="{63B3BB69-23CF-44E3-9099-C40C66FF867C}">
                  <a14:compatExt spid="_x0000_s88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88116" name="Check Box 52" hidden="1">
              <a:extLst>
                <a:ext uri="{63B3BB69-23CF-44E3-9099-C40C66FF867C}">
                  <a14:compatExt spid="_x0000_s88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88117" name="Check Box 53" hidden="1">
              <a:extLst>
                <a:ext uri="{63B3BB69-23CF-44E3-9099-C40C66FF867C}">
                  <a14:compatExt spid="_x0000_s88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88118" name="Check Box 54" hidden="1">
              <a:extLst>
                <a:ext uri="{63B3BB69-23CF-44E3-9099-C40C66FF867C}">
                  <a14:compatExt spid="_x0000_s88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88119" name="Check Box 55" hidden="1">
              <a:extLst>
                <a:ext uri="{63B3BB69-23CF-44E3-9099-C40C66FF867C}">
                  <a14:compatExt spid="_x0000_s88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88120" name="Check Box 56" hidden="1">
              <a:extLst>
                <a:ext uri="{63B3BB69-23CF-44E3-9099-C40C66FF867C}">
                  <a14:compatExt spid="_x0000_s88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200025</xdr:rowOff>
        </xdr:from>
        <xdr:to>
          <xdr:col>1</xdr:col>
          <xdr:colOff>0</xdr:colOff>
          <xdr:row>4</xdr:row>
          <xdr:rowOff>57150</xdr:rowOff>
        </xdr:to>
        <xdr:sp macro="" textlink="">
          <xdr:nvSpPr>
            <xdr:cNvPr id="88121" name="交换" hidden="1">
              <a:extLst>
                <a:ext uri="{63B3BB69-23CF-44E3-9099-C40C66FF867C}">
                  <a14:compatExt spid="_x0000_s88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5</xdr:row>
          <xdr:rowOff>104775</xdr:rowOff>
        </xdr:from>
        <xdr:to>
          <xdr:col>1</xdr:col>
          <xdr:colOff>0</xdr:colOff>
          <xdr:row>6</xdr:row>
          <xdr:rowOff>76200</xdr:rowOff>
        </xdr:to>
        <xdr:sp macro="" textlink="">
          <xdr:nvSpPr>
            <xdr:cNvPr id="88122" name="stage2" hidden="1">
              <a:extLst>
                <a:ext uri="{63B3BB69-23CF-44E3-9099-C40C66FF867C}">
                  <a14:compatExt spid="_x0000_s88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8</xdr:row>
          <xdr:rowOff>38100</xdr:rowOff>
        </xdr:from>
        <xdr:to>
          <xdr:col>1</xdr:col>
          <xdr:colOff>0</xdr:colOff>
          <xdr:row>9</xdr:row>
          <xdr:rowOff>114300</xdr:rowOff>
        </xdr:to>
        <xdr:sp macro="" textlink="">
          <xdr:nvSpPr>
            <xdr:cNvPr id="88123" name="stage_num_set" hidden="1">
              <a:extLst>
                <a:ext uri="{63B3BB69-23CF-44E3-9099-C40C66FF867C}">
                  <a14:compatExt spid="_x0000_s88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9</xdr:row>
          <xdr:rowOff>114300</xdr:rowOff>
        </xdr:from>
        <xdr:to>
          <xdr:col>1</xdr:col>
          <xdr:colOff>0</xdr:colOff>
          <xdr:row>10</xdr:row>
          <xdr:rowOff>152400</xdr:rowOff>
        </xdr:to>
        <xdr:sp macro="" textlink="">
          <xdr:nvSpPr>
            <xdr:cNvPr id="88124" name="stage_num" hidden="1">
              <a:extLst>
                <a:ext uri="{63B3BB69-23CF-44E3-9099-C40C66FF867C}">
                  <a14:compatExt spid="_x0000_s88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4</xdr:row>
          <xdr:rowOff>57150</xdr:rowOff>
        </xdr:from>
        <xdr:to>
          <xdr:col>1</xdr:col>
          <xdr:colOff>0</xdr:colOff>
          <xdr:row>5</xdr:row>
          <xdr:rowOff>104775</xdr:rowOff>
        </xdr:to>
        <xdr:sp macro="" textlink="">
          <xdr:nvSpPr>
            <xdr:cNvPr id="88125" name="stage1" hidden="1">
              <a:extLst>
                <a:ext uri="{63B3BB69-23CF-44E3-9099-C40C66FF867C}">
                  <a14:compatExt spid="_x0000_s88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200025</xdr:rowOff>
        </xdr:from>
        <xdr:to>
          <xdr:col>4</xdr:col>
          <xdr:colOff>819150</xdr:colOff>
          <xdr:row>4</xdr:row>
          <xdr:rowOff>19050</xdr:rowOff>
        </xdr:to>
        <xdr:sp macro="" textlink="">
          <xdr:nvSpPr>
            <xdr:cNvPr id="89089" name="Check Box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89090" name="Check Box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89091" name="Check Box 3" hidden="1">
              <a:extLst>
                <a:ext uri="{63B3BB69-23CF-44E3-9099-C40C66FF867C}">
                  <a14:compatExt spid="_x0000_s89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89092" name="Check Box 4" hidden="1">
              <a:extLst>
                <a:ext uri="{63B3BB69-23CF-44E3-9099-C40C66FF867C}">
                  <a14:compatExt spid="_x0000_s89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89093" name="Check Box 5" hidden="1">
              <a:extLst>
                <a:ext uri="{63B3BB69-23CF-44E3-9099-C40C66FF867C}">
                  <a14:compatExt spid="_x0000_s89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89094" name="Check Box 6" hidden="1">
              <a:extLst>
                <a:ext uri="{63B3BB69-23CF-44E3-9099-C40C66FF867C}">
                  <a14:compatExt spid="_x0000_s89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89095" name="Check Box 7" hidden="1">
              <a:extLst>
                <a:ext uri="{63B3BB69-23CF-44E3-9099-C40C66FF867C}">
                  <a14:compatExt spid="_x0000_s89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89096" name="Check Box 8" hidden="1">
              <a:extLst>
                <a:ext uri="{63B3BB69-23CF-44E3-9099-C40C66FF867C}">
                  <a14:compatExt spid="_x0000_s89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89097" name="Check Box 9" hidden="1">
              <a:extLst>
                <a:ext uri="{63B3BB69-23CF-44E3-9099-C40C66FF867C}">
                  <a14:compatExt spid="_x0000_s89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89098" name="Check Box 10" hidden="1">
              <a:extLst>
                <a:ext uri="{63B3BB69-23CF-44E3-9099-C40C66FF867C}">
                  <a14:compatExt spid="_x0000_s89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89099" name="Check Box 11" hidden="1">
              <a:extLst>
                <a:ext uri="{63B3BB69-23CF-44E3-9099-C40C66FF867C}">
                  <a14:compatExt spid="_x0000_s89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9100" name="Check Box 12" hidden="1">
              <a:extLst>
                <a:ext uri="{63B3BB69-23CF-44E3-9099-C40C66FF867C}">
                  <a14:compatExt spid="_x0000_s89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200025</xdr:rowOff>
        </xdr:from>
        <xdr:to>
          <xdr:col>4</xdr:col>
          <xdr:colOff>819150</xdr:colOff>
          <xdr:row>4</xdr:row>
          <xdr:rowOff>19050</xdr:rowOff>
        </xdr:to>
        <xdr:sp macro="" textlink="">
          <xdr:nvSpPr>
            <xdr:cNvPr id="89101" name="Check Box 13" hidden="1">
              <a:extLst>
                <a:ext uri="{63B3BB69-23CF-44E3-9099-C40C66FF867C}">
                  <a14:compatExt spid="_x0000_s89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89102" name="Check Box 14" hidden="1">
              <a:extLst>
                <a:ext uri="{63B3BB69-23CF-44E3-9099-C40C66FF867C}">
                  <a14:compatExt spid="_x0000_s89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89103" name="Check Box 15" hidden="1">
              <a:extLst>
                <a:ext uri="{63B3BB69-23CF-44E3-9099-C40C66FF867C}">
                  <a14:compatExt spid="_x0000_s89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89104" name="Check Box 16" hidden="1">
              <a:extLst>
                <a:ext uri="{63B3BB69-23CF-44E3-9099-C40C66FF867C}">
                  <a14:compatExt spid="_x0000_s89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89105" name="Check Box 17" hidden="1">
              <a:extLst>
                <a:ext uri="{63B3BB69-23CF-44E3-9099-C40C66FF867C}">
                  <a14:compatExt spid="_x0000_s89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89106" name="Check Box 18" hidden="1">
              <a:extLst>
                <a:ext uri="{63B3BB69-23CF-44E3-9099-C40C66FF867C}">
                  <a14:compatExt spid="_x0000_s89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89107" name="Check Box 19" hidden="1">
              <a:extLst>
                <a:ext uri="{63B3BB69-23CF-44E3-9099-C40C66FF867C}">
                  <a14:compatExt spid="_x0000_s89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89108" name="Check Box 20" hidden="1">
              <a:extLst>
                <a:ext uri="{63B3BB69-23CF-44E3-9099-C40C66FF867C}">
                  <a14:compatExt spid="_x0000_s89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89109" name="Check Box 21" hidden="1">
              <a:extLst>
                <a:ext uri="{63B3BB69-23CF-44E3-9099-C40C66FF867C}">
                  <a14:compatExt spid="_x0000_s89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89110" name="Check Box 22" hidden="1">
              <a:extLst>
                <a:ext uri="{63B3BB69-23CF-44E3-9099-C40C66FF867C}">
                  <a14:compatExt spid="_x0000_s89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89111" name="Check Box 23" hidden="1">
              <a:extLst>
                <a:ext uri="{63B3BB69-23CF-44E3-9099-C40C66FF867C}">
                  <a14:compatExt spid="_x0000_s89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89112" name="Check Box 24" hidden="1">
              <a:extLst>
                <a:ext uri="{63B3BB69-23CF-44E3-9099-C40C66FF867C}">
                  <a14:compatExt spid="_x0000_s89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89113" name="Check Box 25" hidden="1">
              <a:extLst>
                <a:ext uri="{63B3BB69-23CF-44E3-9099-C40C66FF867C}">
                  <a14:compatExt spid="_x0000_s89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89114" name="Check Box 26" hidden="1">
              <a:extLst>
                <a:ext uri="{63B3BB69-23CF-44E3-9099-C40C66FF867C}">
                  <a14:compatExt spid="_x0000_s89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89115" name="Check Box 27" hidden="1">
              <a:extLst>
                <a:ext uri="{63B3BB69-23CF-44E3-9099-C40C66FF867C}">
                  <a14:compatExt spid="_x0000_s89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89116" name="Check Box 28" hidden="1">
              <a:extLst>
                <a:ext uri="{63B3BB69-23CF-44E3-9099-C40C66FF867C}">
                  <a14:compatExt spid="_x0000_s89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89117" name="Check Box 29" hidden="1">
              <a:extLst>
                <a:ext uri="{63B3BB69-23CF-44E3-9099-C40C66FF867C}">
                  <a14:compatExt spid="_x0000_s89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89118" name="Check Box 30" hidden="1">
              <a:extLst>
                <a:ext uri="{63B3BB69-23CF-44E3-9099-C40C66FF867C}">
                  <a14:compatExt spid="_x0000_s89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89119" name="Check Box 31" hidden="1">
              <a:extLst>
                <a:ext uri="{63B3BB69-23CF-44E3-9099-C40C66FF867C}">
                  <a14:compatExt spid="_x0000_s89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89120" name="Check Box 32" hidden="1">
              <a:extLst>
                <a:ext uri="{63B3BB69-23CF-44E3-9099-C40C66FF867C}">
                  <a14:compatExt spid="_x0000_s89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89121" name="Check Box 33" hidden="1">
              <a:extLst>
                <a:ext uri="{63B3BB69-23CF-44E3-9099-C40C66FF867C}">
                  <a14:compatExt spid="_x0000_s89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89122" name="Check Box 34" hidden="1">
              <a:extLst>
                <a:ext uri="{63B3BB69-23CF-44E3-9099-C40C66FF867C}">
                  <a14:compatExt spid="_x0000_s89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89123" name="Check Box 35" hidden="1">
              <a:extLst>
                <a:ext uri="{63B3BB69-23CF-44E3-9099-C40C66FF867C}">
                  <a14:compatExt spid="_x0000_s89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89124" name="Check Box 36" hidden="1">
              <a:extLst>
                <a:ext uri="{63B3BB69-23CF-44E3-9099-C40C66FF867C}">
                  <a14:compatExt spid="_x0000_s89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89125" name="Check Box 37" hidden="1">
              <a:extLst>
                <a:ext uri="{63B3BB69-23CF-44E3-9099-C40C66FF867C}">
                  <a14:compatExt spid="_x0000_s89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89126" name="Check Box 38" hidden="1">
              <a:extLst>
                <a:ext uri="{63B3BB69-23CF-44E3-9099-C40C66FF867C}">
                  <a14:compatExt spid="_x0000_s89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89127" name="Check Box 39" hidden="1">
              <a:extLst>
                <a:ext uri="{63B3BB69-23CF-44E3-9099-C40C66FF867C}">
                  <a14:compatExt spid="_x0000_s89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89128" name="Check Box 40" hidden="1">
              <a:extLst>
                <a:ext uri="{63B3BB69-23CF-44E3-9099-C40C66FF867C}">
                  <a14:compatExt spid="_x0000_s89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89129" name="Check Box 41" hidden="1">
              <a:extLst>
                <a:ext uri="{63B3BB69-23CF-44E3-9099-C40C66FF867C}">
                  <a14:compatExt spid="_x0000_s89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89130" name="Check Box 42" hidden="1">
              <a:extLst>
                <a:ext uri="{63B3BB69-23CF-44E3-9099-C40C66FF867C}">
                  <a14:compatExt spid="_x0000_s89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9131" name="Check Box 43" hidden="1">
              <a:extLst>
                <a:ext uri="{63B3BB69-23CF-44E3-9099-C40C66FF867C}">
                  <a14:compatExt spid="_x0000_s89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9132" name="Check Box 44" hidden="1">
              <a:extLst>
                <a:ext uri="{63B3BB69-23CF-44E3-9099-C40C66FF867C}">
                  <a14:compatExt spid="_x0000_s89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</xdr:row>
          <xdr:rowOff>200025</xdr:rowOff>
        </xdr:from>
        <xdr:to>
          <xdr:col>3</xdr:col>
          <xdr:colOff>819150</xdr:colOff>
          <xdr:row>4</xdr:row>
          <xdr:rowOff>19050</xdr:rowOff>
        </xdr:to>
        <xdr:sp macro="" textlink="">
          <xdr:nvSpPr>
            <xdr:cNvPr id="89133" name="Check Box 45" hidden="1">
              <a:extLst>
                <a:ext uri="{63B3BB69-23CF-44E3-9099-C40C66FF867C}">
                  <a14:compatExt spid="_x0000_s89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9134" name="Check Box 46" hidden="1">
              <a:extLst>
                <a:ext uri="{63B3BB69-23CF-44E3-9099-C40C66FF867C}">
                  <a14:compatExt spid="_x0000_s89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89135" name="Check Box 47" hidden="1">
              <a:extLst>
                <a:ext uri="{63B3BB69-23CF-44E3-9099-C40C66FF867C}">
                  <a14:compatExt spid="_x0000_s89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9136" name="Check Box 48" hidden="1">
              <a:extLst>
                <a:ext uri="{63B3BB69-23CF-44E3-9099-C40C66FF867C}">
                  <a14:compatExt spid="_x0000_s89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9137" name="Check Box 49" hidden="1">
              <a:extLst>
                <a:ext uri="{63B3BB69-23CF-44E3-9099-C40C66FF867C}">
                  <a14:compatExt spid="_x0000_s89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89138" name="Check Box 50" hidden="1">
              <a:extLst>
                <a:ext uri="{63B3BB69-23CF-44E3-9099-C40C66FF867C}">
                  <a14:compatExt spid="_x0000_s89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89139" name="Check Box 51" hidden="1">
              <a:extLst>
                <a:ext uri="{63B3BB69-23CF-44E3-9099-C40C66FF867C}">
                  <a14:compatExt spid="_x0000_s89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89140" name="Check Box 52" hidden="1">
              <a:extLst>
                <a:ext uri="{63B3BB69-23CF-44E3-9099-C40C66FF867C}">
                  <a14:compatExt spid="_x0000_s89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89141" name="Check Box 53" hidden="1">
              <a:extLst>
                <a:ext uri="{63B3BB69-23CF-44E3-9099-C40C66FF867C}">
                  <a14:compatExt spid="_x0000_s89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89142" name="Check Box 54" hidden="1">
              <a:extLst>
                <a:ext uri="{63B3BB69-23CF-44E3-9099-C40C66FF867C}">
                  <a14:compatExt spid="_x0000_s89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89143" name="Check Box 55" hidden="1">
              <a:extLst>
                <a:ext uri="{63B3BB69-23CF-44E3-9099-C40C66FF867C}">
                  <a14:compatExt spid="_x0000_s89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89144" name="Check Box 56" hidden="1">
              <a:extLst>
                <a:ext uri="{63B3BB69-23CF-44E3-9099-C40C66FF867C}">
                  <a14:compatExt spid="_x0000_s89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200025</xdr:rowOff>
        </xdr:from>
        <xdr:to>
          <xdr:col>1</xdr:col>
          <xdr:colOff>0</xdr:colOff>
          <xdr:row>4</xdr:row>
          <xdr:rowOff>57150</xdr:rowOff>
        </xdr:to>
        <xdr:sp macro="" textlink="">
          <xdr:nvSpPr>
            <xdr:cNvPr id="89145" name="交换" hidden="1">
              <a:extLst>
                <a:ext uri="{63B3BB69-23CF-44E3-9099-C40C66FF867C}">
                  <a14:compatExt spid="_x0000_s89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5</xdr:row>
          <xdr:rowOff>104775</xdr:rowOff>
        </xdr:from>
        <xdr:to>
          <xdr:col>1</xdr:col>
          <xdr:colOff>0</xdr:colOff>
          <xdr:row>6</xdr:row>
          <xdr:rowOff>142875</xdr:rowOff>
        </xdr:to>
        <xdr:sp macro="" textlink="">
          <xdr:nvSpPr>
            <xdr:cNvPr id="89146" name="stage2" hidden="1">
              <a:extLst>
                <a:ext uri="{63B3BB69-23CF-44E3-9099-C40C66FF867C}">
                  <a14:compatExt spid="_x0000_s89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8</xdr:row>
          <xdr:rowOff>38100</xdr:rowOff>
        </xdr:from>
        <xdr:to>
          <xdr:col>1</xdr:col>
          <xdr:colOff>0</xdr:colOff>
          <xdr:row>9</xdr:row>
          <xdr:rowOff>114300</xdr:rowOff>
        </xdr:to>
        <xdr:sp macro="" textlink="">
          <xdr:nvSpPr>
            <xdr:cNvPr id="89147" name="stage_num_set" hidden="1">
              <a:extLst>
                <a:ext uri="{63B3BB69-23CF-44E3-9099-C40C66FF867C}">
                  <a14:compatExt spid="_x0000_s89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9</xdr:row>
          <xdr:rowOff>114300</xdr:rowOff>
        </xdr:from>
        <xdr:to>
          <xdr:col>1</xdr:col>
          <xdr:colOff>0</xdr:colOff>
          <xdr:row>10</xdr:row>
          <xdr:rowOff>152400</xdr:rowOff>
        </xdr:to>
        <xdr:sp macro="" textlink="">
          <xdr:nvSpPr>
            <xdr:cNvPr id="89148" name="stage_num" hidden="1">
              <a:extLst>
                <a:ext uri="{63B3BB69-23CF-44E3-9099-C40C66FF867C}">
                  <a14:compatExt spid="_x0000_s89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4</xdr:row>
          <xdr:rowOff>57150</xdr:rowOff>
        </xdr:from>
        <xdr:to>
          <xdr:col>1</xdr:col>
          <xdr:colOff>0</xdr:colOff>
          <xdr:row>5</xdr:row>
          <xdr:rowOff>104775</xdr:rowOff>
        </xdr:to>
        <xdr:sp macro="" textlink="">
          <xdr:nvSpPr>
            <xdr:cNvPr id="89149" name="stage1" hidden="1">
              <a:extLst>
                <a:ext uri="{63B3BB69-23CF-44E3-9099-C40C66FF867C}">
                  <a14:compatExt spid="_x0000_s89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200025</xdr:rowOff>
        </xdr:from>
        <xdr:to>
          <xdr:col>4</xdr:col>
          <xdr:colOff>819150</xdr:colOff>
          <xdr:row>4</xdr:row>
          <xdr:rowOff>19050</xdr:rowOff>
        </xdr:to>
        <xdr:sp macro="" textlink="">
          <xdr:nvSpPr>
            <xdr:cNvPr id="90113" name="Check Box 1" hidden="1">
              <a:extLst>
                <a:ext uri="{63B3BB69-23CF-44E3-9099-C40C66FF867C}">
                  <a14:compatExt spid="_x0000_s90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90114" name="Check Box 2" hidden="1">
              <a:extLst>
                <a:ext uri="{63B3BB69-23CF-44E3-9099-C40C66FF867C}">
                  <a14:compatExt spid="_x0000_s90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90115" name="Check Box 3" hidden="1">
              <a:extLst>
                <a:ext uri="{63B3BB69-23CF-44E3-9099-C40C66FF867C}">
                  <a14:compatExt spid="_x0000_s90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90116" name="Check Box 4" hidden="1">
              <a:extLst>
                <a:ext uri="{63B3BB69-23CF-44E3-9099-C40C66FF867C}">
                  <a14:compatExt spid="_x0000_s90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90117" name="Check Box 5" hidden="1">
              <a:extLst>
                <a:ext uri="{63B3BB69-23CF-44E3-9099-C40C66FF867C}">
                  <a14:compatExt spid="_x0000_s90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90118" name="Check Box 6" hidden="1">
              <a:extLst>
                <a:ext uri="{63B3BB69-23CF-44E3-9099-C40C66FF867C}">
                  <a14:compatExt spid="_x0000_s90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90119" name="Check Box 7" hidden="1">
              <a:extLst>
                <a:ext uri="{63B3BB69-23CF-44E3-9099-C40C66FF867C}">
                  <a14:compatExt spid="_x0000_s90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90120" name="Check Box 8" hidden="1">
              <a:extLst>
                <a:ext uri="{63B3BB69-23CF-44E3-9099-C40C66FF867C}">
                  <a14:compatExt spid="_x0000_s90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90121" name="Check Box 9" hidden="1">
              <a:extLst>
                <a:ext uri="{63B3BB69-23CF-44E3-9099-C40C66FF867C}">
                  <a14:compatExt spid="_x0000_s90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90122" name="Check Box 10" hidden="1">
              <a:extLst>
                <a:ext uri="{63B3BB69-23CF-44E3-9099-C40C66FF867C}">
                  <a14:compatExt spid="_x0000_s90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90123" name="Check Box 11" hidden="1">
              <a:extLst>
                <a:ext uri="{63B3BB69-23CF-44E3-9099-C40C66FF867C}">
                  <a14:compatExt spid="_x0000_s90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0124" name="Check Box 12" hidden="1">
              <a:extLst>
                <a:ext uri="{63B3BB69-23CF-44E3-9099-C40C66FF867C}">
                  <a14:compatExt spid="_x0000_s90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200025</xdr:rowOff>
        </xdr:from>
        <xdr:to>
          <xdr:col>4</xdr:col>
          <xdr:colOff>819150</xdr:colOff>
          <xdr:row>4</xdr:row>
          <xdr:rowOff>19050</xdr:rowOff>
        </xdr:to>
        <xdr:sp macro="" textlink="">
          <xdr:nvSpPr>
            <xdr:cNvPr id="90125" name="Check Box 13" hidden="1">
              <a:extLst>
                <a:ext uri="{63B3BB69-23CF-44E3-9099-C40C66FF867C}">
                  <a14:compatExt spid="_x0000_s90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90126" name="Check Box 14" hidden="1">
              <a:extLst>
                <a:ext uri="{63B3BB69-23CF-44E3-9099-C40C66FF867C}">
                  <a14:compatExt spid="_x0000_s90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90127" name="Check Box 15" hidden="1">
              <a:extLst>
                <a:ext uri="{63B3BB69-23CF-44E3-9099-C40C66FF867C}">
                  <a14:compatExt spid="_x0000_s90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90128" name="Check Box 16" hidden="1">
              <a:extLst>
                <a:ext uri="{63B3BB69-23CF-44E3-9099-C40C66FF867C}">
                  <a14:compatExt spid="_x0000_s90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90129" name="Check Box 17" hidden="1">
              <a:extLst>
                <a:ext uri="{63B3BB69-23CF-44E3-9099-C40C66FF867C}">
                  <a14:compatExt spid="_x0000_s90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90130" name="Check Box 18" hidden="1">
              <a:extLst>
                <a:ext uri="{63B3BB69-23CF-44E3-9099-C40C66FF867C}">
                  <a14:compatExt spid="_x0000_s90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90131" name="Check Box 19" hidden="1">
              <a:extLst>
                <a:ext uri="{63B3BB69-23CF-44E3-9099-C40C66FF867C}">
                  <a14:compatExt spid="_x0000_s90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90132" name="Check Box 20" hidden="1">
              <a:extLst>
                <a:ext uri="{63B3BB69-23CF-44E3-9099-C40C66FF867C}">
                  <a14:compatExt spid="_x0000_s90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90133" name="Check Box 21" hidden="1">
              <a:extLst>
                <a:ext uri="{63B3BB69-23CF-44E3-9099-C40C66FF867C}">
                  <a14:compatExt spid="_x0000_s90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90134" name="Check Box 22" hidden="1">
              <a:extLst>
                <a:ext uri="{63B3BB69-23CF-44E3-9099-C40C66FF867C}">
                  <a14:compatExt spid="_x0000_s90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90135" name="Check Box 23" hidden="1">
              <a:extLst>
                <a:ext uri="{63B3BB69-23CF-44E3-9099-C40C66FF867C}">
                  <a14:compatExt spid="_x0000_s90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90136" name="Check Box 24" hidden="1">
              <a:extLst>
                <a:ext uri="{63B3BB69-23CF-44E3-9099-C40C66FF867C}">
                  <a14:compatExt spid="_x0000_s90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90137" name="Check Box 25" hidden="1">
              <a:extLst>
                <a:ext uri="{63B3BB69-23CF-44E3-9099-C40C66FF867C}">
                  <a14:compatExt spid="_x0000_s90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90138" name="Check Box 26" hidden="1">
              <a:extLst>
                <a:ext uri="{63B3BB69-23CF-44E3-9099-C40C66FF867C}">
                  <a14:compatExt spid="_x0000_s90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90139" name="Check Box 27" hidden="1">
              <a:extLst>
                <a:ext uri="{63B3BB69-23CF-44E3-9099-C40C66FF867C}">
                  <a14:compatExt spid="_x0000_s90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90140" name="Check Box 28" hidden="1">
              <a:extLst>
                <a:ext uri="{63B3BB69-23CF-44E3-9099-C40C66FF867C}">
                  <a14:compatExt spid="_x0000_s90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90141" name="Check Box 29" hidden="1">
              <a:extLst>
                <a:ext uri="{63B3BB69-23CF-44E3-9099-C40C66FF867C}">
                  <a14:compatExt spid="_x0000_s90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90142" name="Check Box 30" hidden="1">
              <a:extLst>
                <a:ext uri="{63B3BB69-23CF-44E3-9099-C40C66FF867C}">
                  <a14:compatExt spid="_x0000_s90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90143" name="Check Box 31" hidden="1">
              <a:extLst>
                <a:ext uri="{63B3BB69-23CF-44E3-9099-C40C66FF867C}">
                  <a14:compatExt spid="_x0000_s90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90144" name="Check Box 32" hidden="1">
              <a:extLst>
                <a:ext uri="{63B3BB69-23CF-44E3-9099-C40C66FF867C}">
                  <a14:compatExt spid="_x0000_s90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90145" name="Check Box 33" hidden="1">
              <a:extLst>
                <a:ext uri="{63B3BB69-23CF-44E3-9099-C40C66FF867C}">
                  <a14:compatExt spid="_x0000_s90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90146" name="Check Box 34" hidden="1">
              <a:extLst>
                <a:ext uri="{63B3BB69-23CF-44E3-9099-C40C66FF867C}">
                  <a14:compatExt spid="_x0000_s90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90147" name="Check Box 35" hidden="1">
              <a:extLst>
                <a:ext uri="{63B3BB69-23CF-44E3-9099-C40C66FF867C}">
                  <a14:compatExt spid="_x0000_s90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90148" name="Check Box 36" hidden="1">
              <a:extLst>
                <a:ext uri="{63B3BB69-23CF-44E3-9099-C40C66FF867C}">
                  <a14:compatExt spid="_x0000_s90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90149" name="Check Box 37" hidden="1">
              <a:extLst>
                <a:ext uri="{63B3BB69-23CF-44E3-9099-C40C66FF867C}">
                  <a14:compatExt spid="_x0000_s90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90150" name="Check Box 38" hidden="1">
              <a:extLst>
                <a:ext uri="{63B3BB69-23CF-44E3-9099-C40C66FF867C}">
                  <a14:compatExt spid="_x0000_s90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90151" name="Check Box 39" hidden="1">
              <a:extLst>
                <a:ext uri="{63B3BB69-23CF-44E3-9099-C40C66FF867C}">
                  <a14:compatExt spid="_x0000_s90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90152" name="Check Box 40" hidden="1">
              <a:extLst>
                <a:ext uri="{63B3BB69-23CF-44E3-9099-C40C66FF867C}">
                  <a14:compatExt spid="_x0000_s90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90153" name="Check Box 41" hidden="1">
              <a:extLst>
                <a:ext uri="{63B3BB69-23CF-44E3-9099-C40C66FF867C}">
                  <a14:compatExt spid="_x0000_s90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90154" name="Check Box 42" hidden="1">
              <a:extLst>
                <a:ext uri="{63B3BB69-23CF-44E3-9099-C40C66FF867C}">
                  <a14:compatExt spid="_x0000_s90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0155" name="Check Box 43" hidden="1">
              <a:extLst>
                <a:ext uri="{63B3BB69-23CF-44E3-9099-C40C66FF867C}">
                  <a14:compatExt spid="_x0000_s90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0156" name="Check Box 44" hidden="1">
              <a:extLst>
                <a:ext uri="{63B3BB69-23CF-44E3-9099-C40C66FF867C}">
                  <a14:compatExt spid="_x0000_s90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</xdr:row>
          <xdr:rowOff>200025</xdr:rowOff>
        </xdr:from>
        <xdr:to>
          <xdr:col>3</xdr:col>
          <xdr:colOff>819150</xdr:colOff>
          <xdr:row>4</xdr:row>
          <xdr:rowOff>19050</xdr:rowOff>
        </xdr:to>
        <xdr:sp macro="" textlink="">
          <xdr:nvSpPr>
            <xdr:cNvPr id="90157" name="Check Box 45" hidden="1">
              <a:extLst>
                <a:ext uri="{63B3BB69-23CF-44E3-9099-C40C66FF867C}">
                  <a14:compatExt spid="_x0000_s90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0158" name="Check Box 46" hidden="1">
              <a:extLst>
                <a:ext uri="{63B3BB69-23CF-44E3-9099-C40C66FF867C}">
                  <a14:compatExt spid="_x0000_s90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90159" name="Check Box 47" hidden="1">
              <a:extLst>
                <a:ext uri="{63B3BB69-23CF-44E3-9099-C40C66FF867C}">
                  <a14:compatExt spid="_x0000_s90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0160" name="Check Box 48" hidden="1">
              <a:extLst>
                <a:ext uri="{63B3BB69-23CF-44E3-9099-C40C66FF867C}">
                  <a14:compatExt spid="_x0000_s90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0161" name="Check Box 49" hidden="1">
              <a:extLst>
                <a:ext uri="{63B3BB69-23CF-44E3-9099-C40C66FF867C}">
                  <a14:compatExt spid="_x0000_s90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0162" name="Check Box 50" hidden="1">
              <a:extLst>
                <a:ext uri="{63B3BB69-23CF-44E3-9099-C40C66FF867C}">
                  <a14:compatExt spid="_x0000_s90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90163" name="Check Box 51" hidden="1">
              <a:extLst>
                <a:ext uri="{63B3BB69-23CF-44E3-9099-C40C66FF867C}">
                  <a14:compatExt spid="_x0000_s90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90164" name="Check Box 52" hidden="1">
              <a:extLst>
                <a:ext uri="{63B3BB69-23CF-44E3-9099-C40C66FF867C}">
                  <a14:compatExt spid="_x0000_s90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90165" name="Check Box 53" hidden="1">
              <a:extLst>
                <a:ext uri="{63B3BB69-23CF-44E3-9099-C40C66FF867C}">
                  <a14:compatExt spid="_x0000_s90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90166" name="Check Box 54" hidden="1">
              <a:extLst>
                <a:ext uri="{63B3BB69-23CF-44E3-9099-C40C66FF867C}">
                  <a14:compatExt spid="_x0000_s90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90167" name="Check Box 55" hidden="1">
              <a:extLst>
                <a:ext uri="{63B3BB69-23CF-44E3-9099-C40C66FF867C}">
                  <a14:compatExt spid="_x0000_s90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90168" name="Check Box 56" hidden="1">
              <a:extLst>
                <a:ext uri="{63B3BB69-23CF-44E3-9099-C40C66FF867C}">
                  <a14:compatExt spid="_x0000_s90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200025</xdr:rowOff>
        </xdr:from>
        <xdr:to>
          <xdr:col>1</xdr:col>
          <xdr:colOff>0</xdr:colOff>
          <xdr:row>4</xdr:row>
          <xdr:rowOff>57150</xdr:rowOff>
        </xdr:to>
        <xdr:sp macro="" textlink="">
          <xdr:nvSpPr>
            <xdr:cNvPr id="90169" name="交换" hidden="1">
              <a:extLst>
                <a:ext uri="{63B3BB69-23CF-44E3-9099-C40C66FF867C}">
                  <a14:compatExt spid="_x0000_s90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5</xdr:row>
          <xdr:rowOff>104775</xdr:rowOff>
        </xdr:from>
        <xdr:to>
          <xdr:col>1</xdr:col>
          <xdr:colOff>0</xdr:colOff>
          <xdr:row>6</xdr:row>
          <xdr:rowOff>76200</xdr:rowOff>
        </xdr:to>
        <xdr:sp macro="" textlink="">
          <xdr:nvSpPr>
            <xdr:cNvPr id="90170" name="stage2" hidden="1">
              <a:extLst>
                <a:ext uri="{63B3BB69-23CF-44E3-9099-C40C66FF867C}">
                  <a14:compatExt spid="_x0000_s90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8</xdr:row>
          <xdr:rowOff>38100</xdr:rowOff>
        </xdr:from>
        <xdr:to>
          <xdr:col>1</xdr:col>
          <xdr:colOff>0</xdr:colOff>
          <xdr:row>9</xdr:row>
          <xdr:rowOff>114300</xdr:rowOff>
        </xdr:to>
        <xdr:sp macro="" textlink="">
          <xdr:nvSpPr>
            <xdr:cNvPr id="90171" name="stage_num_set" hidden="1">
              <a:extLst>
                <a:ext uri="{63B3BB69-23CF-44E3-9099-C40C66FF867C}">
                  <a14:compatExt spid="_x0000_s90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9</xdr:row>
          <xdr:rowOff>114300</xdr:rowOff>
        </xdr:from>
        <xdr:to>
          <xdr:col>1</xdr:col>
          <xdr:colOff>0</xdr:colOff>
          <xdr:row>10</xdr:row>
          <xdr:rowOff>152400</xdr:rowOff>
        </xdr:to>
        <xdr:sp macro="" textlink="">
          <xdr:nvSpPr>
            <xdr:cNvPr id="90172" name="stage_num" hidden="1">
              <a:extLst>
                <a:ext uri="{63B3BB69-23CF-44E3-9099-C40C66FF867C}">
                  <a14:compatExt spid="_x0000_s90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4</xdr:row>
          <xdr:rowOff>57150</xdr:rowOff>
        </xdr:from>
        <xdr:to>
          <xdr:col>1</xdr:col>
          <xdr:colOff>0</xdr:colOff>
          <xdr:row>5</xdr:row>
          <xdr:rowOff>104775</xdr:rowOff>
        </xdr:to>
        <xdr:sp macro="" textlink="">
          <xdr:nvSpPr>
            <xdr:cNvPr id="90173" name="stage1" hidden="1">
              <a:extLst>
                <a:ext uri="{63B3BB69-23CF-44E3-9099-C40C66FF867C}">
                  <a14:compatExt spid="_x0000_s90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200025</xdr:rowOff>
        </xdr:from>
        <xdr:to>
          <xdr:col>4</xdr:col>
          <xdr:colOff>819150</xdr:colOff>
          <xdr:row>4</xdr:row>
          <xdr:rowOff>19050</xdr:rowOff>
        </xdr:to>
        <xdr:sp macro="" textlink="">
          <xdr:nvSpPr>
            <xdr:cNvPr id="91137" name="Check Box 1" hidden="1">
              <a:extLst>
                <a:ext uri="{63B3BB69-23CF-44E3-9099-C40C66FF867C}">
                  <a14:compatExt spid="_x0000_s91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91138" name="Check Box 2" hidden="1">
              <a:extLst>
                <a:ext uri="{63B3BB69-23CF-44E3-9099-C40C66FF867C}">
                  <a14:compatExt spid="_x0000_s91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91139" name="Check Box 3" hidden="1">
              <a:extLst>
                <a:ext uri="{63B3BB69-23CF-44E3-9099-C40C66FF867C}">
                  <a14:compatExt spid="_x0000_s91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91140" name="Check Box 4" hidden="1">
              <a:extLst>
                <a:ext uri="{63B3BB69-23CF-44E3-9099-C40C66FF867C}">
                  <a14:compatExt spid="_x0000_s91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91141" name="Check Box 5" hidden="1">
              <a:extLst>
                <a:ext uri="{63B3BB69-23CF-44E3-9099-C40C66FF867C}">
                  <a14:compatExt spid="_x0000_s91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91142" name="Check Box 6" hidden="1">
              <a:extLst>
                <a:ext uri="{63B3BB69-23CF-44E3-9099-C40C66FF867C}">
                  <a14:compatExt spid="_x0000_s9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91143" name="Check Box 7" hidden="1">
              <a:extLst>
                <a:ext uri="{63B3BB69-23CF-44E3-9099-C40C66FF867C}">
                  <a14:compatExt spid="_x0000_s91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91144" name="Check Box 8" hidden="1">
              <a:extLst>
                <a:ext uri="{63B3BB69-23CF-44E3-9099-C40C66FF867C}">
                  <a14:compatExt spid="_x0000_s91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91145" name="Check Box 9" hidden="1">
              <a:extLst>
                <a:ext uri="{63B3BB69-23CF-44E3-9099-C40C66FF867C}">
                  <a14:compatExt spid="_x0000_s91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91146" name="Check Box 10" hidden="1">
              <a:extLst>
                <a:ext uri="{63B3BB69-23CF-44E3-9099-C40C66FF867C}">
                  <a14:compatExt spid="_x0000_s91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91147" name="Check Box 11" hidden="1">
              <a:extLst>
                <a:ext uri="{63B3BB69-23CF-44E3-9099-C40C66FF867C}">
                  <a14:compatExt spid="_x0000_s91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1148" name="Check Box 12" hidden="1">
              <a:extLst>
                <a:ext uri="{63B3BB69-23CF-44E3-9099-C40C66FF867C}">
                  <a14:compatExt spid="_x0000_s91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200025</xdr:rowOff>
        </xdr:from>
        <xdr:to>
          <xdr:col>4</xdr:col>
          <xdr:colOff>819150</xdr:colOff>
          <xdr:row>4</xdr:row>
          <xdr:rowOff>19050</xdr:rowOff>
        </xdr:to>
        <xdr:sp macro="" textlink="">
          <xdr:nvSpPr>
            <xdr:cNvPr id="91149" name="Check Box 13" hidden="1">
              <a:extLst>
                <a:ext uri="{63B3BB69-23CF-44E3-9099-C40C66FF867C}">
                  <a14:compatExt spid="_x0000_s91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91150" name="Check Box 14" hidden="1">
              <a:extLst>
                <a:ext uri="{63B3BB69-23CF-44E3-9099-C40C66FF867C}">
                  <a14:compatExt spid="_x0000_s91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91151" name="Check Box 15" hidden="1">
              <a:extLst>
                <a:ext uri="{63B3BB69-23CF-44E3-9099-C40C66FF867C}">
                  <a14:compatExt spid="_x0000_s91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91152" name="Check Box 16" hidden="1">
              <a:extLst>
                <a:ext uri="{63B3BB69-23CF-44E3-9099-C40C66FF867C}">
                  <a14:compatExt spid="_x0000_s91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91153" name="Check Box 17" hidden="1">
              <a:extLst>
                <a:ext uri="{63B3BB69-23CF-44E3-9099-C40C66FF867C}">
                  <a14:compatExt spid="_x0000_s91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91154" name="Check Box 18" hidden="1">
              <a:extLst>
                <a:ext uri="{63B3BB69-23CF-44E3-9099-C40C66FF867C}">
                  <a14:compatExt spid="_x0000_s91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91155" name="Check Box 19" hidden="1">
              <a:extLst>
                <a:ext uri="{63B3BB69-23CF-44E3-9099-C40C66FF867C}">
                  <a14:compatExt spid="_x0000_s91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91156" name="Check Box 20" hidden="1">
              <a:extLst>
                <a:ext uri="{63B3BB69-23CF-44E3-9099-C40C66FF867C}">
                  <a14:compatExt spid="_x0000_s91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91157" name="Check Box 21" hidden="1">
              <a:extLst>
                <a:ext uri="{63B3BB69-23CF-44E3-9099-C40C66FF867C}">
                  <a14:compatExt spid="_x0000_s91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91158" name="Check Box 22" hidden="1">
              <a:extLst>
                <a:ext uri="{63B3BB69-23CF-44E3-9099-C40C66FF867C}">
                  <a14:compatExt spid="_x0000_s91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91159" name="Check Box 23" hidden="1">
              <a:extLst>
                <a:ext uri="{63B3BB69-23CF-44E3-9099-C40C66FF867C}">
                  <a14:compatExt spid="_x0000_s91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91160" name="Check Box 24" hidden="1">
              <a:extLst>
                <a:ext uri="{63B3BB69-23CF-44E3-9099-C40C66FF867C}">
                  <a14:compatExt spid="_x0000_s91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91161" name="Check Box 25" hidden="1">
              <a:extLst>
                <a:ext uri="{63B3BB69-23CF-44E3-9099-C40C66FF867C}">
                  <a14:compatExt spid="_x0000_s91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91162" name="Check Box 26" hidden="1">
              <a:extLst>
                <a:ext uri="{63B3BB69-23CF-44E3-9099-C40C66FF867C}">
                  <a14:compatExt spid="_x0000_s91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91163" name="Check Box 27" hidden="1">
              <a:extLst>
                <a:ext uri="{63B3BB69-23CF-44E3-9099-C40C66FF867C}">
                  <a14:compatExt spid="_x0000_s91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91164" name="Check Box 28" hidden="1">
              <a:extLst>
                <a:ext uri="{63B3BB69-23CF-44E3-9099-C40C66FF867C}">
                  <a14:compatExt spid="_x0000_s91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91165" name="Check Box 29" hidden="1">
              <a:extLst>
                <a:ext uri="{63B3BB69-23CF-44E3-9099-C40C66FF867C}">
                  <a14:compatExt spid="_x0000_s91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91166" name="Check Box 30" hidden="1">
              <a:extLst>
                <a:ext uri="{63B3BB69-23CF-44E3-9099-C40C66FF867C}">
                  <a14:compatExt spid="_x0000_s91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91167" name="Check Box 31" hidden="1">
              <a:extLst>
                <a:ext uri="{63B3BB69-23CF-44E3-9099-C40C66FF867C}">
                  <a14:compatExt spid="_x0000_s91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91168" name="Check Box 32" hidden="1">
              <a:extLst>
                <a:ext uri="{63B3BB69-23CF-44E3-9099-C40C66FF867C}">
                  <a14:compatExt spid="_x0000_s91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91169" name="Check Box 33" hidden="1">
              <a:extLst>
                <a:ext uri="{63B3BB69-23CF-44E3-9099-C40C66FF867C}">
                  <a14:compatExt spid="_x0000_s91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91170" name="Check Box 34" hidden="1">
              <a:extLst>
                <a:ext uri="{63B3BB69-23CF-44E3-9099-C40C66FF867C}">
                  <a14:compatExt spid="_x0000_s91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91171" name="Check Box 35" hidden="1">
              <a:extLst>
                <a:ext uri="{63B3BB69-23CF-44E3-9099-C40C66FF867C}">
                  <a14:compatExt spid="_x0000_s91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91172" name="Check Box 36" hidden="1">
              <a:extLst>
                <a:ext uri="{63B3BB69-23CF-44E3-9099-C40C66FF867C}">
                  <a14:compatExt spid="_x0000_s91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91173" name="Check Box 37" hidden="1">
              <a:extLst>
                <a:ext uri="{63B3BB69-23CF-44E3-9099-C40C66FF867C}">
                  <a14:compatExt spid="_x0000_s91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91174" name="Check Box 38" hidden="1">
              <a:extLst>
                <a:ext uri="{63B3BB69-23CF-44E3-9099-C40C66FF867C}">
                  <a14:compatExt spid="_x0000_s91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91175" name="Check Box 39" hidden="1">
              <a:extLst>
                <a:ext uri="{63B3BB69-23CF-44E3-9099-C40C66FF867C}">
                  <a14:compatExt spid="_x0000_s91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91176" name="Check Box 40" hidden="1">
              <a:extLst>
                <a:ext uri="{63B3BB69-23CF-44E3-9099-C40C66FF867C}">
                  <a14:compatExt spid="_x0000_s91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91177" name="Check Box 41" hidden="1">
              <a:extLst>
                <a:ext uri="{63B3BB69-23CF-44E3-9099-C40C66FF867C}">
                  <a14:compatExt spid="_x0000_s91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91178" name="Check Box 42" hidden="1">
              <a:extLst>
                <a:ext uri="{63B3BB69-23CF-44E3-9099-C40C66FF867C}">
                  <a14:compatExt spid="_x0000_s91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1179" name="Check Box 43" hidden="1">
              <a:extLst>
                <a:ext uri="{63B3BB69-23CF-44E3-9099-C40C66FF867C}">
                  <a14:compatExt spid="_x0000_s91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1180" name="Check Box 44" hidden="1">
              <a:extLst>
                <a:ext uri="{63B3BB69-23CF-44E3-9099-C40C66FF867C}">
                  <a14:compatExt spid="_x0000_s91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</xdr:row>
          <xdr:rowOff>200025</xdr:rowOff>
        </xdr:from>
        <xdr:to>
          <xdr:col>3</xdr:col>
          <xdr:colOff>819150</xdr:colOff>
          <xdr:row>4</xdr:row>
          <xdr:rowOff>19050</xdr:rowOff>
        </xdr:to>
        <xdr:sp macro="" textlink="">
          <xdr:nvSpPr>
            <xdr:cNvPr id="91181" name="Check Box 45" hidden="1">
              <a:extLst>
                <a:ext uri="{63B3BB69-23CF-44E3-9099-C40C66FF867C}">
                  <a14:compatExt spid="_x0000_s91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1182" name="Check Box 46" hidden="1">
              <a:extLst>
                <a:ext uri="{63B3BB69-23CF-44E3-9099-C40C66FF867C}">
                  <a14:compatExt spid="_x0000_s91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91183" name="Check Box 47" hidden="1">
              <a:extLst>
                <a:ext uri="{63B3BB69-23CF-44E3-9099-C40C66FF867C}">
                  <a14:compatExt spid="_x0000_s91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1184" name="Check Box 48" hidden="1">
              <a:extLst>
                <a:ext uri="{63B3BB69-23CF-44E3-9099-C40C66FF867C}">
                  <a14:compatExt spid="_x0000_s91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1185" name="Check Box 49" hidden="1">
              <a:extLst>
                <a:ext uri="{63B3BB69-23CF-44E3-9099-C40C66FF867C}">
                  <a14:compatExt spid="_x0000_s91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1186" name="Check Box 50" hidden="1">
              <a:extLst>
                <a:ext uri="{63B3BB69-23CF-44E3-9099-C40C66FF867C}">
                  <a14:compatExt spid="_x0000_s91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91187" name="Check Box 51" hidden="1">
              <a:extLst>
                <a:ext uri="{63B3BB69-23CF-44E3-9099-C40C66FF867C}">
                  <a14:compatExt spid="_x0000_s91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91188" name="Check Box 52" hidden="1">
              <a:extLst>
                <a:ext uri="{63B3BB69-23CF-44E3-9099-C40C66FF867C}">
                  <a14:compatExt spid="_x0000_s91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91189" name="Check Box 53" hidden="1">
              <a:extLst>
                <a:ext uri="{63B3BB69-23CF-44E3-9099-C40C66FF867C}">
                  <a14:compatExt spid="_x0000_s91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91190" name="Check Box 54" hidden="1">
              <a:extLst>
                <a:ext uri="{63B3BB69-23CF-44E3-9099-C40C66FF867C}">
                  <a14:compatExt spid="_x0000_s91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91191" name="Check Box 55" hidden="1">
              <a:extLst>
                <a:ext uri="{63B3BB69-23CF-44E3-9099-C40C66FF867C}">
                  <a14:compatExt spid="_x0000_s91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91192" name="Check Box 56" hidden="1">
              <a:extLst>
                <a:ext uri="{63B3BB69-23CF-44E3-9099-C40C66FF867C}">
                  <a14:compatExt spid="_x0000_s91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200025</xdr:rowOff>
        </xdr:from>
        <xdr:to>
          <xdr:col>1</xdr:col>
          <xdr:colOff>0</xdr:colOff>
          <xdr:row>4</xdr:row>
          <xdr:rowOff>57150</xdr:rowOff>
        </xdr:to>
        <xdr:sp macro="" textlink="">
          <xdr:nvSpPr>
            <xdr:cNvPr id="91193" name="交换" hidden="1">
              <a:extLst>
                <a:ext uri="{63B3BB69-23CF-44E3-9099-C40C66FF867C}">
                  <a14:compatExt spid="_x0000_s91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5</xdr:row>
          <xdr:rowOff>104775</xdr:rowOff>
        </xdr:from>
        <xdr:to>
          <xdr:col>1</xdr:col>
          <xdr:colOff>0</xdr:colOff>
          <xdr:row>6</xdr:row>
          <xdr:rowOff>142875</xdr:rowOff>
        </xdr:to>
        <xdr:sp macro="" textlink="">
          <xdr:nvSpPr>
            <xdr:cNvPr id="91194" name="stage2" hidden="1">
              <a:extLst>
                <a:ext uri="{63B3BB69-23CF-44E3-9099-C40C66FF867C}">
                  <a14:compatExt spid="_x0000_s91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8</xdr:row>
          <xdr:rowOff>38100</xdr:rowOff>
        </xdr:from>
        <xdr:to>
          <xdr:col>1</xdr:col>
          <xdr:colOff>0</xdr:colOff>
          <xdr:row>9</xdr:row>
          <xdr:rowOff>114300</xdr:rowOff>
        </xdr:to>
        <xdr:sp macro="" textlink="">
          <xdr:nvSpPr>
            <xdr:cNvPr id="91195" name="stage_num_set" hidden="1">
              <a:extLst>
                <a:ext uri="{63B3BB69-23CF-44E3-9099-C40C66FF867C}">
                  <a14:compatExt spid="_x0000_s91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9</xdr:row>
          <xdr:rowOff>114300</xdr:rowOff>
        </xdr:from>
        <xdr:to>
          <xdr:col>1</xdr:col>
          <xdr:colOff>0</xdr:colOff>
          <xdr:row>10</xdr:row>
          <xdr:rowOff>152400</xdr:rowOff>
        </xdr:to>
        <xdr:sp macro="" textlink="">
          <xdr:nvSpPr>
            <xdr:cNvPr id="91196" name="stage_num" hidden="1">
              <a:extLst>
                <a:ext uri="{63B3BB69-23CF-44E3-9099-C40C66FF867C}">
                  <a14:compatExt spid="_x0000_s91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4</xdr:row>
          <xdr:rowOff>57150</xdr:rowOff>
        </xdr:from>
        <xdr:to>
          <xdr:col>1</xdr:col>
          <xdr:colOff>0</xdr:colOff>
          <xdr:row>5</xdr:row>
          <xdr:rowOff>104775</xdr:rowOff>
        </xdr:to>
        <xdr:sp macro="" textlink="">
          <xdr:nvSpPr>
            <xdr:cNvPr id="91197" name="stage1" hidden="1">
              <a:extLst>
                <a:ext uri="{63B3BB69-23CF-44E3-9099-C40C66FF867C}">
                  <a14:compatExt spid="_x0000_s91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200025</xdr:rowOff>
        </xdr:from>
        <xdr:to>
          <xdr:col>4</xdr:col>
          <xdr:colOff>819150</xdr:colOff>
          <xdr:row>4</xdr:row>
          <xdr:rowOff>19050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92169" name="Check Box 9" hidden="1">
              <a:extLst>
                <a:ext uri="{63B3BB69-23CF-44E3-9099-C40C66FF867C}">
                  <a14:compatExt spid="_x0000_s9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92170" name="Check Box 10" hidden="1">
              <a:extLst>
                <a:ext uri="{63B3BB69-23CF-44E3-9099-C40C66FF867C}">
                  <a14:compatExt spid="_x0000_s9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92171" name="Check Box 11" hidden="1">
              <a:extLst>
                <a:ext uri="{63B3BB69-23CF-44E3-9099-C40C66FF867C}">
                  <a14:compatExt spid="_x0000_s92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2172" name="Check Box 12" hidden="1">
              <a:extLst>
                <a:ext uri="{63B3BB69-23CF-44E3-9099-C40C66FF867C}">
                  <a14:compatExt spid="_x0000_s92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200025</xdr:rowOff>
        </xdr:from>
        <xdr:to>
          <xdr:col>4</xdr:col>
          <xdr:colOff>819150</xdr:colOff>
          <xdr:row>4</xdr:row>
          <xdr:rowOff>19050</xdr:rowOff>
        </xdr:to>
        <xdr:sp macro="" textlink="">
          <xdr:nvSpPr>
            <xdr:cNvPr id="92173" name="Check Box 13" hidden="1">
              <a:extLst>
                <a:ext uri="{63B3BB69-23CF-44E3-9099-C40C66FF867C}">
                  <a14:compatExt spid="_x0000_s92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92174" name="Check Box 14" hidden="1">
              <a:extLst>
                <a:ext uri="{63B3BB69-23CF-44E3-9099-C40C66FF867C}">
                  <a14:compatExt spid="_x0000_s92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92175" name="Check Box 15" hidden="1">
              <a:extLst>
                <a:ext uri="{63B3BB69-23CF-44E3-9099-C40C66FF867C}">
                  <a14:compatExt spid="_x0000_s92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92176" name="Check Box 16" hidden="1">
              <a:extLst>
                <a:ext uri="{63B3BB69-23CF-44E3-9099-C40C66FF867C}">
                  <a14:compatExt spid="_x0000_s92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92177" name="Check Box 17" hidden="1">
              <a:extLst>
                <a:ext uri="{63B3BB69-23CF-44E3-9099-C40C66FF867C}">
                  <a14:compatExt spid="_x0000_s92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92178" name="Check Box 18" hidden="1">
              <a:extLst>
                <a:ext uri="{63B3BB69-23CF-44E3-9099-C40C66FF867C}">
                  <a14:compatExt spid="_x0000_s92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92179" name="Check Box 19" hidden="1">
              <a:extLst>
                <a:ext uri="{63B3BB69-23CF-44E3-9099-C40C66FF867C}">
                  <a14:compatExt spid="_x0000_s92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92180" name="Check Box 20" hidden="1">
              <a:extLst>
                <a:ext uri="{63B3BB69-23CF-44E3-9099-C40C66FF867C}">
                  <a14:compatExt spid="_x0000_s92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92181" name="Check Box 21" hidden="1">
              <a:extLst>
                <a:ext uri="{63B3BB69-23CF-44E3-9099-C40C66FF867C}">
                  <a14:compatExt spid="_x0000_s9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92182" name="Check Box 22" hidden="1">
              <a:extLst>
                <a:ext uri="{63B3BB69-23CF-44E3-9099-C40C66FF867C}">
                  <a14:compatExt spid="_x0000_s9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92183" name="Check Box 23" hidden="1">
              <a:extLst>
                <a:ext uri="{63B3BB69-23CF-44E3-9099-C40C66FF867C}">
                  <a14:compatExt spid="_x0000_s9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92184" name="Check Box 24" hidden="1">
              <a:extLst>
                <a:ext uri="{63B3BB69-23CF-44E3-9099-C40C66FF867C}">
                  <a14:compatExt spid="_x0000_s9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92185" name="Check Box 25" hidden="1">
              <a:extLst>
                <a:ext uri="{63B3BB69-23CF-44E3-9099-C40C66FF867C}">
                  <a14:compatExt spid="_x0000_s92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92186" name="Check Box 26" hidden="1">
              <a:extLst>
                <a:ext uri="{63B3BB69-23CF-44E3-9099-C40C66FF867C}">
                  <a14:compatExt spid="_x0000_s92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92187" name="Check Box 27" hidden="1">
              <a:extLst>
                <a:ext uri="{63B3BB69-23CF-44E3-9099-C40C66FF867C}">
                  <a14:compatExt spid="_x0000_s9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92188" name="Check Box 28" hidden="1">
              <a:extLst>
                <a:ext uri="{63B3BB69-23CF-44E3-9099-C40C66FF867C}">
                  <a14:compatExt spid="_x0000_s9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92189" name="Check Box 29" hidden="1">
              <a:extLst>
                <a:ext uri="{63B3BB69-23CF-44E3-9099-C40C66FF867C}">
                  <a14:compatExt spid="_x0000_s92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92190" name="Check Box 30" hidden="1">
              <a:extLst>
                <a:ext uri="{63B3BB69-23CF-44E3-9099-C40C66FF867C}">
                  <a14:compatExt spid="_x0000_s92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92191" name="Check Box 31" hidden="1">
              <a:extLst>
                <a:ext uri="{63B3BB69-23CF-44E3-9099-C40C66FF867C}">
                  <a14:compatExt spid="_x0000_s9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92192" name="Check Box 32" hidden="1">
              <a:extLst>
                <a:ext uri="{63B3BB69-23CF-44E3-9099-C40C66FF867C}">
                  <a14:compatExt spid="_x0000_s9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92193" name="Check Box 33" hidden="1">
              <a:extLst>
                <a:ext uri="{63B3BB69-23CF-44E3-9099-C40C66FF867C}">
                  <a14:compatExt spid="_x0000_s9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92194" name="Check Box 34" hidden="1">
              <a:extLst>
                <a:ext uri="{63B3BB69-23CF-44E3-9099-C40C66FF867C}">
                  <a14:compatExt spid="_x0000_s9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92195" name="Check Box 35" hidden="1">
              <a:extLst>
                <a:ext uri="{63B3BB69-23CF-44E3-9099-C40C66FF867C}">
                  <a14:compatExt spid="_x0000_s92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92196" name="Check Box 36" hidden="1">
              <a:extLst>
                <a:ext uri="{63B3BB69-23CF-44E3-9099-C40C66FF867C}">
                  <a14:compatExt spid="_x0000_s92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92197" name="Check Box 37" hidden="1">
              <a:extLst>
                <a:ext uri="{63B3BB69-23CF-44E3-9099-C40C66FF867C}">
                  <a14:compatExt spid="_x0000_s9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92198" name="Check Box 38" hidden="1">
              <a:extLst>
                <a:ext uri="{63B3BB69-23CF-44E3-9099-C40C66FF867C}">
                  <a14:compatExt spid="_x0000_s9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92199" name="Check Box 39" hidden="1">
              <a:extLst>
                <a:ext uri="{63B3BB69-23CF-44E3-9099-C40C66FF867C}">
                  <a14:compatExt spid="_x0000_s92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92200" name="Check Box 40" hidden="1">
              <a:extLst>
                <a:ext uri="{63B3BB69-23CF-44E3-9099-C40C66FF867C}">
                  <a14:compatExt spid="_x0000_s92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92201" name="Check Box 41" hidden="1">
              <a:extLst>
                <a:ext uri="{63B3BB69-23CF-44E3-9099-C40C66FF867C}">
                  <a14:compatExt spid="_x0000_s9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92202" name="Check Box 42" hidden="1">
              <a:extLst>
                <a:ext uri="{63B3BB69-23CF-44E3-9099-C40C66FF867C}">
                  <a14:compatExt spid="_x0000_s9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2203" name="Check Box 43" hidden="1">
              <a:extLst>
                <a:ext uri="{63B3BB69-23CF-44E3-9099-C40C66FF867C}">
                  <a14:compatExt spid="_x0000_s92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2204" name="Check Box 44" hidden="1">
              <a:extLst>
                <a:ext uri="{63B3BB69-23CF-44E3-9099-C40C66FF867C}">
                  <a14:compatExt spid="_x0000_s9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</xdr:row>
          <xdr:rowOff>200025</xdr:rowOff>
        </xdr:from>
        <xdr:to>
          <xdr:col>3</xdr:col>
          <xdr:colOff>819150</xdr:colOff>
          <xdr:row>4</xdr:row>
          <xdr:rowOff>19050</xdr:rowOff>
        </xdr:to>
        <xdr:sp macro="" textlink="">
          <xdr:nvSpPr>
            <xdr:cNvPr id="92205" name="Check Box 45" hidden="1">
              <a:extLst>
                <a:ext uri="{63B3BB69-23CF-44E3-9099-C40C66FF867C}">
                  <a14:compatExt spid="_x0000_s92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2206" name="Check Box 46" hidden="1">
              <a:extLst>
                <a:ext uri="{63B3BB69-23CF-44E3-9099-C40C66FF867C}">
                  <a14:compatExt spid="_x0000_s92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92207" name="Check Box 47" hidden="1">
              <a:extLst>
                <a:ext uri="{63B3BB69-23CF-44E3-9099-C40C66FF867C}">
                  <a14:compatExt spid="_x0000_s92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2208" name="Check Box 48" hidden="1">
              <a:extLst>
                <a:ext uri="{63B3BB69-23CF-44E3-9099-C40C66FF867C}">
                  <a14:compatExt spid="_x0000_s92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2209" name="Check Box 49" hidden="1">
              <a:extLst>
                <a:ext uri="{63B3BB69-23CF-44E3-9099-C40C66FF867C}">
                  <a14:compatExt spid="_x0000_s92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2210" name="Check Box 50" hidden="1">
              <a:extLst>
                <a:ext uri="{63B3BB69-23CF-44E3-9099-C40C66FF867C}">
                  <a14:compatExt spid="_x0000_s92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92211" name="Check Box 51" hidden="1">
              <a:extLst>
                <a:ext uri="{63B3BB69-23CF-44E3-9099-C40C66FF867C}">
                  <a14:compatExt spid="_x0000_s92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92212" name="Check Box 52" hidden="1">
              <a:extLst>
                <a:ext uri="{63B3BB69-23CF-44E3-9099-C40C66FF867C}">
                  <a14:compatExt spid="_x0000_s92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92213" name="Check Box 53" hidden="1">
              <a:extLst>
                <a:ext uri="{63B3BB69-23CF-44E3-9099-C40C66FF867C}">
                  <a14:compatExt spid="_x0000_s92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92214" name="Check Box 54" hidden="1">
              <a:extLst>
                <a:ext uri="{63B3BB69-23CF-44E3-9099-C40C66FF867C}">
                  <a14:compatExt spid="_x0000_s92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92215" name="Check Box 55" hidden="1">
              <a:extLst>
                <a:ext uri="{63B3BB69-23CF-44E3-9099-C40C66FF867C}">
                  <a14:compatExt spid="_x0000_s92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92216" name="Check Box 56" hidden="1">
              <a:extLst>
                <a:ext uri="{63B3BB69-23CF-44E3-9099-C40C66FF867C}">
                  <a14:compatExt spid="_x0000_s92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200025</xdr:rowOff>
        </xdr:from>
        <xdr:to>
          <xdr:col>1</xdr:col>
          <xdr:colOff>0</xdr:colOff>
          <xdr:row>4</xdr:row>
          <xdr:rowOff>57150</xdr:rowOff>
        </xdr:to>
        <xdr:sp macro="" textlink="">
          <xdr:nvSpPr>
            <xdr:cNvPr id="92217" name="交换" hidden="1">
              <a:extLst>
                <a:ext uri="{63B3BB69-23CF-44E3-9099-C40C66FF867C}">
                  <a14:compatExt spid="_x0000_s92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5</xdr:row>
          <xdr:rowOff>104775</xdr:rowOff>
        </xdr:from>
        <xdr:to>
          <xdr:col>1</xdr:col>
          <xdr:colOff>0</xdr:colOff>
          <xdr:row>6</xdr:row>
          <xdr:rowOff>76200</xdr:rowOff>
        </xdr:to>
        <xdr:sp macro="" textlink="">
          <xdr:nvSpPr>
            <xdr:cNvPr id="92218" name="stage2" hidden="1">
              <a:extLst>
                <a:ext uri="{63B3BB69-23CF-44E3-9099-C40C66FF867C}">
                  <a14:compatExt spid="_x0000_s92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8</xdr:row>
          <xdr:rowOff>38100</xdr:rowOff>
        </xdr:from>
        <xdr:to>
          <xdr:col>1</xdr:col>
          <xdr:colOff>0</xdr:colOff>
          <xdr:row>9</xdr:row>
          <xdr:rowOff>114300</xdr:rowOff>
        </xdr:to>
        <xdr:sp macro="" textlink="">
          <xdr:nvSpPr>
            <xdr:cNvPr id="92219" name="stage_num_set" hidden="1">
              <a:extLst>
                <a:ext uri="{63B3BB69-23CF-44E3-9099-C40C66FF867C}">
                  <a14:compatExt spid="_x0000_s92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9</xdr:row>
          <xdr:rowOff>114300</xdr:rowOff>
        </xdr:from>
        <xdr:to>
          <xdr:col>1</xdr:col>
          <xdr:colOff>0</xdr:colOff>
          <xdr:row>10</xdr:row>
          <xdr:rowOff>152400</xdr:rowOff>
        </xdr:to>
        <xdr:sp macro="" textlink="">
          <xdr:nvSpPr>
            <xdr:cNvPr id="92220" name="stage_num" hidden="1">
              <a:extLst>
                <a:ext uri="{63B3BB69-23CF-44E3-9099-C40C66FF867C}">
                  <a14:compatExt spid="_x0000_s92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4</xdr:row>
          <xdr:rowOff>57150</xdr:rowOff>
        </xdr:from>
        <xdr:to>
          <xdr:col>1</xdr:col>
          <xdr:colOff>0</xdr:colOff>
          <xdr:row>5</xdr:row>
          <xdr:rowOff>104775</xdr:rowOff>
        </xdr:to>
        <xdr:sp macro="" textlink="">
          <xdr:nvSpPr>
            <xdr:cNvPr id="92221" name="stage1" hidden="1">
              <a:extLst>
                <a:ext uri="{63B3BB69-23CF-44E3-9099-C40C66FF867C}">
                  <a14:compatExt spid="_x0000_s92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200025</xdr:rowOff>
        </xdr:from>
        <xdr:to>
          <xdr:col>4</xdr:col>
          <xdr:colOff>819150</xdr:colOff>
          <xdr:row>4</xdr:row>
          <xdr:rowOff>19050</xdr:rowOff>
        </xdr:to>
        <xdr:sp macro="" textlink="">
          <xdr:nvSpPr>
            <xdr:cNvPr id="93185" name="Check Box 1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93186" name="Check Box 2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93187" name="Check Box 3" hidden="1">
              <a:extLst>
                <a:ext uri="{63B3BB69-23CF-44E3-9099-C40C66FF867C}">
                  <a14:compatExt spid="_x0000_s93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93188" name="Check Box 4" hidden="1">
              <a:extLst>
                <a:ext uri="{63B3BB69-23CF-44E3-9099-C40C66FF867C}">
                  <a14:compatExt spid="_x0000_s93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93189" name="Check Box 5" hidden="1">
              <a:extLst>
                <a:ext uri="{63B3BB69-23CF-44E3-9099-C40C66FF867C}">
                  <a14:compatExt spid="_x0000_s93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93190" name="Check Box 6" hidden="1">
              <a:extLst>
                <a:ext uri="{63B3BB69-23CF-44E3-9099-C40C66FF867C}">
                  <a14:compatExt spid="_x0000_s93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93191" name="Check Box 7" hidden="1">
              <a:extLst>
                <a:ext uri="{63B3BB69-23CF-44E3-9099-C40C66FF867C}">
                  <a14:compatExt spid="_x0000_s93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93192" name="Check Box 8" hidden="1">
              <a:extLst>
                <a:ext uri="{63B3BB69-23CF-44E3-9099-C40C66FF867C}">
                  <a14:compatExt spid="_x0000_s93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93193" name="Check Box 9" hidden="1">
              <a:extLst>
                <a:ext uri="{63B3BB69-23CF-44E3-9099-C40C66FF867C}">
                  <a14:compatExt spid="_x0000_s93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93194" name="Check Box 10" hidden="1">
              <a:extLst>
                <a:ext uri="{63B3BB69-23CF-44E3-9099-C40C66FF867C}">
                  <a14:compatExt spid="_x0000_s93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93195" name="Check Box 11" hidden="1">
              <a:extLst>
                <a:ext uri="{63B3BB69-23CF-44E3-9099-C40C66FF867C}">
                  <a14:compatExt spid="_x0000_s93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3196" name="Check Box 12" hidden="1">
              <a:extLst>
                <a:ext uri="{63B3BB69-23CF-44E3-9099-C40C66FF867C}">
                  <a14:compatExt spid="_x0000_s93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200025</xdr:rowOff>
        </xdr:from>
        <xdr:to>
          <xdr:col>4</xdr:col>
          <xdr:colOff>819150</xdr:colOff>
          <xdr:row>4</xdr:row>
          <xdr:rowOff>19050</xdr:rowOff>
        </xdr:to>
        <xdr:sp macro="" textlink="">
          <xdr:nvSpPr>
            <xdr:cNvPr id="93197" name="Check Box 13" hidden="1">
              <a:extLst>
                <a:ext uri="{63B3BB69-23CF-44E3-9099-C40C66FF867C}">
                  <a14:compatExt spid="_x0000_s93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93198" name="Check Box 14" hidden="1">
              <a:extLst>
                <a:ext uri="{63B3BB69-23CF-44E3-9099-C40C66FF867C}">
                  <a14:compatExt spid="_x0000_s93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93199" name="Check Box 15" hidden="1">
              <a:extLst>
                <a:ext uri="{63B3BB69-23CF-44E3-9099-C40C66FF867C}">
                  <a14:compatExt spid="_x0000_s93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93200" name="Check Box 16" hidden="1">
              <a:extLst>
                <a:ext uri="{63B3BB69-23CF-44E3-9099-C40C66FF867C}">
                  <a14:compatExt spid="_x0000_s93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93201" name="Check Box 17" hidden="1">
              <a:extLst>
                <a:ext uri="{63B3BB69-23CF-44E3-9099-C40C66FF867C}">
                  <a14:compatExt spid="_x0000_s93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93202" name="Check Box 18" hidden="1">
              <a:extLst>
                <a:ext uri="{63B3BB69-23CF-44E3-9099-C40C66FF867C}">
                  <a14:compatExt spid="_x0000_s93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93203" name="Check Box 19" hidden="1">
              <a:extLst>
                <a:ext uri="{63B3BB69-23CF-44E3-9099-C40C66FF867C}">
                  <a14:compatExt spid="_x0000_s93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93204" name="Check Box 20" hidden="1">
              <a:extLst>
                <a:ext uri="{63B3BB69-23CF-44E3-9099-C40C66FF867C}">
                  <a14:compatExt spid="_x0000_s93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93205" name="Check Box 21" hidden="1">
              <a:extLst>
                <a:ext uri="{63B3BB69-23CF-44E3-9099-C40C66FF867C}">
                  <a14:compatExt spid="_x0000_s93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93206" name="Check Box 22" hidden="1">
              <a:extLst>
                <a:ext uri="{63B3BB69-23CF-44E3-9099-C40C66FF867C}">
                  <a14:compatExt spid="_x0000_s93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93207" name="Check Box 23" hidden="1">
              <a:extLst>
                <a:ext uri="{63B3BB69-23CF-44E3-9099-C40C66FF867C}">
                  <a14:compatExt spid="_x0000_s93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93208" name="Check Box 24" hidden="1">
              <a:extLst>
                <a:ext uri="{63B3BB69-23CF-44E3-9099-C40C66FF867C}">
                  <a14:compatExt spid="_x0000_s93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93209" name="Check Box 25" hidden="1">
              <a:extLst>
                <a:ext uri="{63B3BB69-23CF-44E3-9099-C40C66FF867C}">
                  <a14:compatExt spid="_x0000_s93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93210" name="Check Box 26" hidden="1">
              <a:extLst>
                <a:ext uri="{63B3BB69-23CF-44E3-9099-C40C66FF867C}">
                  <a14:compatExt spid="_x0000_s93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93211" name="Check Box 27" hidden="1">
              <a:extLst>
                <a:ext uri="{63B3BB69-23CF-44E3-9099-C40C66FF867C}">
                  <a14:compatExt spid="_x0000_s93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93212" name="Check Box 28" hidden="1">
              <a:extLst>
                <a:ext uri="{63B3BB69-23CF-44E3-9099-C40C66FF867C}">
                  <a14:compatExt spid="_x0000_s93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93213" name="Check Box 29" hidden="1">
              <a:extLst>
                <a:ext uri="{63B3BB69-23CF-44E3-9099-C40C66FF867C}">
                  <a14:compatExt spid="_x0000_s93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93214" name="Check Box 30" hidden="1">
              <a:extLst>
                <a:ext uri="{63B3BB69-23CF-44E3-9099-C40C66FF867C}">
                  <a14:compatExt spid="_x0000_s93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93215" name="Check Box 31" hidden="1">
              <a:extLst>
                <a:ext uri="{63B3BB69-23CF-44E3-9099-C40C66FF867C}">
                  <a14:compatExt spid="_x0000_s93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93216" name="Check Box 32" hidden="1">
              <a:extLst>
                <a:ext uri="{63B3BB69-23CF-44E3-9099-C40C66FF867C}">
                  <a14:compatExt spid="_x0000_s93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93217" name="Check Box 33" hidden="1">
              <a:extLst>
                <a:ext uri="{63B3BB69-23CF-44E3-9099-C40C66FF867C}">
                  <a14:compatExt spid="_x0000_s93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93218" name="Check Box 34" hidden="1">
              <a:extLst>
                <a:ext uri="{63B3BB69-23CF-44E3-9099-C40C66FF867C}">
                  <a14:compatExt spid="_x0000_s93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93219" name="Check Box 35" hidden="1">
              <a:extLst>
                <a:ext uri="{63B3BB69-23CF-44E3-9099-C40C66FF867C}">
                  <a14:compatExt spid="_x0000_s93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93220" name="Check Box 36" hidden="1">
              <a:extLst>
                <a:ext uri="{63B3BB69-23CF-44E3-9099-C40C66FF867C}">
                  <a14:compatExt spid="_x0000_s93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93221" name="Check Box 37" hidden="1">
              <a:extLst>
                <a:ext uri="{63B3BB69-23CF-44E3-9099-C40C66FF867C}">
                  <a14:compatExt spid="_x0000_s93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93222" name="Check Box 38" hidden="1">
              <a:extLst>
                <a:ext uri="{63B3BB69-23CF-44E3-9099-C40C66FF867C}">
                  <a14:compatExt spid="_x0000_s93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93223" name="Check Box 39" hidden="1">
              <a:extLst>
                <a:ext uri="{63B3BB69-23CF-44E3-9099-C40C66FF867C}">
                  <a14:compatExt spid="_x0000_s93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93224" name="Check Box 40" hidden="1">
              <a:extLst>
                <a:ext uri="{63B3BB69-23CF-44E3-9099-C40C66FF867C}">
                  <a14:compatExt spid="_x0000_s93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93225" name="Check Box 41" hidden="1">
              <a:extLst>
                <a:ext uri="{63B3BB69-23CF-44E3-9099-C40C66FF867C}">
                  <a14:compatExt spid="_x0000_s93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93226" name="Check Box 42" hidden="1">
              <a:extLst>
                <a:ext uri="{63B3BB69-23CF-44E3-9099-C40C66FF867C}">
                  <a14:compatExt spid="_x0000_s93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3227" name="Check Box 43" hidden="1">
              <a:extLst>
                <a:ext uri="{63B3BB69-23CF-44E3-9099-C40C66FF867C}">
                  <a14:compatExt spid="_x0000_s93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3228" name="Check Box 44" hidden="1">
              <a:extLst>
                <a:ext uri="{63B3BB69-23CF-44E3-9099-C40C66FF867C}">
                  <a14:compatExt spid="_x0000_s93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</xdr:row>
          <xdr:rowOff>200025</xdr:rowOff>
        </xdr:from>
        <xdr:to>
          <xdr:col>3</xdr:col>
          <xdr:colOff>819150</xdr:colOff>
          <xdr:row>4</xdr:row>
          <xdr:rowOff>19050</xdr:rowOff>
        </xdr:to>
        <xdr:sp macro="" textlink="">
          <xdr:nvSpPr>
            <xdr:cNvPr id="93229" name="Check Box 45" hidden="1">
              <a:extLst>
                <a:ext uri="{63B3BB69-23CF-44E3-9099-C40C66FF867C}">
                  <a14:compatExt spid="_x0000_s93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3230" name="Check Box 46" hidden="1">
              <a:extLst>
                <a:ext uri="{63B3BB69-23CF-44E3-9099-C40C66FF867C}">
                  <a14:compatExt spid="_x0000_s93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93231" name="Check Box 47" hidden="1">
              <a:extLst>
                <a:ext uri="{63B3BB69-23CF-44E3-9099-C40C66FF867C}">
                  <a14:compatExt spid="_x0000_s93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3232" name="Check Box 48" hidden="1">
              <a:extLst>
                <a:ext uri="{63B3BB69-23CF-44E3-9099-C40C66FF867C}">
                  <a14:compatExt spid="_x0000_s93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3233" name="Check Box 49" hidden="1">
              <a:extLst>
                <a:ext uri="{63B3BB69-23CF-44E3-9099-C40C66FF867C}">
                  <a14:compatExt spid="_x0000_s93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93234" name="Check Box 50" hidden="1">
              <a:extLst>
                <a:ext uri="{63B3BB69-23CF-44E3-9099-C40C66FF867C}">
                  <a14:compatExt spid="_x0000_s93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93235" name="Check Box 51" hidden="1">
              <a:extLst>
                <a:ext uri="{63B3BB69-23CF-44E3-9099-C40C66FF867C}">
                  <a14:compatExt spid="_x0000_s93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93236" name="Check Box 52" hidden="1">
              <a:extLst>
                <a:ext uri="{63B3BB69-23CF-44E3-9099-C40C66FF867C}">
                  <a14:compatExt spid="_x0000_s93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93237" name="Check Box 53" hidden="1">
              <a:extLst>
                <a:ext uri="{63B3BB69-23CF-44E3-9099-C40C66FF867C}">
                  <a14:compatExt spid="_x0000_s93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93238" name="Check Box 54" hidden="1">
              <a:extLst>
                <a:ext uri="{63B3BB69-23CF-44E3-9099-C40C66FF867C}">
                  <a14:compatExt spid="_x0000_s93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93239" name="Check Box 55" hidden="1">
              <a:extLst>
                <a:ext uri="{63B3BB69-23CF-44E3-9099-C40C66FF867C}">
                  <a14:compatExt spid="_x0000_s93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93240" name="Check Box 56" hidden="1">
              <a:extLst>
                <a:ext uri="{63B3BB69-23CF-44E3-9099-C40C66FF867C}">
                  <a14:compatExt spid="_x0000_s93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200025</xdr:rowOff>
        </xdr:from>
        <xdr:to>
          <xdr:col>1</xdr:col>
          <xdr:colOff>0</xdr:colOff>
          <xdr:row>4</xdr:row>
          <xdr:rowOff>57150</xdr:rowOff>
        </xdr:to>
        <xdr:sp macro="" textlink="">
          <xdr:nvSpPr>
            <xdr:cNvPr id="93241" name="交换" hidden="1">
              <a:extLst>
                <a:ext uri="{63B3BB69-23CF-44E3-9099-C40C66FF867C}">
                  <a14:compatExt spid="_x0000_s93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5</xdr:row>
          <xdr:rowOff>104775</xdr:rowOff>
        </xdr:from>
        <xdr:to>
          <xdr:col>1</xdr:col>
          <xdr:colOff>0</xdr:colOff>
          <xdr:row>6</xdr:row>
          <xdr:rowOff>142875</xdr:rowOff>
        </xdr:to>
        <xdr:sp macro="" textlink="">
          <xdr:nvSpPr>
            <xdr:cNvPr id="93242" name="stage2" hidden="1">
              <a:extLst>
                <a:ext uri="{63B3BB69-23CF-44E3-9099-C40C66FF867C}">
                  <a14:compatExt spid="_x0000_s93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8</xdr:row>
          <xdr:rowOff>38100</xdr:rowOff>
        </xdr:from>
        <xdr:to>
          <xdr:col>1</xdr:col>
          <xdr:colOff>0</xdr:colOff>
          <xdr:row>9</xdr:row>
          <xdr:rowOff>114300</xdr:rowOff>
        </xdr:to>
        <xdr:sp macro="" textlink="">
          <xdr:nvSpPr>
            <xdr:cNvPr id="93243" name="stage_num_set" hidden="1">
              <a:extLst>
                <a:ext uri="{63B3BB69-23CF-44E3-9099-C40C66FF867C}">
                  <a14:compatExt spid="_x0000_s93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9</xdr:row>
          <xdr:rowOff>114300</xdr:rowOff>
        </xdr:from>
        <xdr:to>
          <xdr:col>1</xdr:col>
          <xdr:colOff>0</xdr:colOff>
          <xdr:row>10</xdr:row>
          <xdr:rowOff>152400</xdr:rowOff>
        </xdr:to>
        <xdr:sp macro="" textlink="">
          <xdr:nvSpPr>
            <xdr:cNvPr id="93244" name="stage_num" hidden="1">
              <a:extLst>
                <a:ext uri="{63B3BB69-23CF-44E3-9099-C40C66FF867C}">
                  <a14:compatExt spid="_x0000_s93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4</xdr:row>
          <xdr:rowOff>57150</xdr:rowOff>
        </xdr:from>
        <xdr:to>
          <xdr:col>1</xdr:col>
          <xdr:colOff>0</xdr:colOff>
          <xdr:row>5</xdr:row>
          <xdr:rowOff>104775</xdr:rowOff>
        </xdr:to>
        <xdr:sp macro="" textlink="">
          <xdr:nvSpPr>
            <xdr:cNvPr id="93245" name="stage1" hidden="1">
              <a:extLst>
                <a:ext uri="{63B3BB69-23CF-44E3-9099-C40C66FF867C}">
                  <a14:compatExt spid="_x0000_s93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1">
          <cell r="A1" t="str">
            <v>种类</v>
          </cell>
          <cell r="B1" t="str">
            <v>型号</v>
          </cell>
          <cell r="C1" t="str">
            <v>频率</v>
          </cell>
          <cell r="D1" t="str">
            <v>增益</v>
          </cell>
          <cell r="E1" t="str">
            <v>NF</v>
          </cell>
          <cell r="F1" t="str">
            <v>P1dB</v>
          </cell>
          <cell r="G1" t="str">
            <v>OIP3</v>
          </cell>
          <cell r="H1" t="str">
            <v>备注</v>
          </cell>
        </row>
        <row r="2">
          <cell r="A2" t="str">
            <v>衰减器</v>
          </cell>
          <cell r="B2" t="str">
            <v>8dB</v>
          </cell>
          <cell r="C2" t="str">
            <v>Wide Band</v>
          </cell>
          <cell r="D2">
            <v>-8</v>
          </cell>
          <cell r="E2">
            <v>8</v>
          </cell>
          <cell r="F2">
            <v>1000</v>
          </cell>
          <cell r="G2">
            <v>1000</v>
          </cell>
          <cell r="H2">
            <v>0</v>
          </cell>
        </row>
        <row r="3">
          <cell r="A3" t="str">
            <v>衰减器</v>
          </cell>
          <cell r="B3" t="str">
            <v>6dB</v>
          </cell>
          <cell r="C3" t="str">
            <v>Wide Band</v>
          </cell>
          <cell r="D3">
            <v>-6</v>
          </cell>
          <cell r="E3">
            <v>6</v>
          </cell>
          <cell r="F3">
            <v>1000</v>
          </cell>
          <cell r="G3">
            <v>1000</v>
          </cell>
          <cell r="H3">
            <v>0</v>
          </cell>
        </row>
        <row r="4">
          <cell r="A4" t="str">
            <v>衰减器</v>
          </cell>
          <cell r="B4" t="str">
            <v>5dB</v>
          </cell>
          <cell r="C4" t="str">
            <v>Wide Band</v>
          </cell>
          <cell r="D4">
            <v>-5</v>
          </cell>
          <cell r="E4">
            <v>5</v>
          </cell>
          <cell r="F4">
            <v>1000</v>
          </cell>
          <cell r="G4">
            <v>1000</v>
          </cell>
          <cell r="H4">
            <v>0</v>
          </cell>
        </row>
        <row r="5">
          <cell r="A5" t="str">
            <v>衰减器</v>
          </cell>
          <cell r="B5" t="str">
            <v>2dB</v>
          </cell>
          <cell r="C5" t="str">
            <v>Wide Band</v>
          </cell>
          <cell r="D5">
            <v>-2</v>
          </cell>
          <cell r="E5">
            <v>2</v>
          </cell>
          <cell r="F5">
            <v>1000</v>
          </cell>
          <cell r="G5">
            <v>1000</v>
          </cell>
          <cell r="H5">
            <v>0</v>
          </cell>
        </row>
        <row r="6">
          <cell r="A6" t="str">
            <v>衰减器</v>
          </cell>
          <cell r="B6" t="str">
            <v>0Ω</v>
          </cell>
          <cell r="C6" t="str">
            <v>Wide Band</v>
          </cell>
          <cell r="D6">
            <v>0</v>
          </cell>
          <cell r="E6">
            <v>0</v>
          </cell>
          <cell r="F6">
            <v>1000</v>
          </cell>
          <cell r="G6">
            <v>1000</v>
          </cell>
          <cell r="H6">
            <v>0</v>
          </cell>
        </row>
        <row r="7">
          <cell r="A7" t="str">
            <v>LC滤波器</v>
          </cell>
          <cell r="B7" t="str">
            <v>椭圆滤波器</v>
          </cell>
          <cell r="C7" t="str">
            <v>中频</v>
          </cell>
          <cell r="D7">
            <v>-4</v>
          </cell>
          <cell r="E7">
            <v>4</v>
          </cell>
          <cell r="F7">
            <v>1000</v>
          </cell>
          <cell r="G7">
            <v>1000</v>
          </cell>
          <cell r="H7">
            <v>0</v>
          </cell>
        </row>
        <row r="8">
          <cell r="A8" t="str">
            <v>LC滤波器</v>
          </cell>
          <cell r="B8" t="str">
            <v>低通滤波器</v>
          </cell>
          <cell r="C8" t="str">
            <v>中频</v>
          </cell>
          <cell r="D8">
            <v>-1</v>
          </cell>
          <cell r="E8">
            <v>1</v>
          </cell>
          <cell r="F8">
            <v>1000</v>
          </cell>
          <cell r="G8">
            <v>1000</v>
          </cell>
          <cell r="H8">
            <v>0</v>
          </cell>
        </row>
        <row r="9">
          <cell r="A9" t="str">
            <v>Cable</v>
          </cell>
          <cell r="B9" t="str">
            <v>HH70 Pri</v>
          </cell>
          <cell r="C9" t="str">
            <v>1000-2000</v>
          </cell>
          <cell r="D9">
            <v>-1.5</v>
          </cell>
          <cell r="E9">
            <v>1.5</v>
          </cell>
          <cell r="F9">
            <v>1000</v>
          </cell>
          <cell r="G9">
            <v>1000</v>
          </cell>
          <cell r="H9">
            <v>0</v>
          </cell>
        </row>
        <row r="10">
          <cell r="A10" t="str">
            <v>Cable</v>
          </cell>
          <cell r="B10" t="str">
            <v>HH70 Pri</v>
          </cell>
          <cell r="C10" t="str">
            <v>700-1000</v>
          </cell>
          <cell r="D10">
            <v>-1</v>
          </cell>
          <cell r="E10">
            <v>1</v>
          </cell>
          <cell r="F10">
            <v>1000</v>
          </cell>
          <cell r="G10">
            <v>1000</v>
          </cell>
          <cell r="H10">
            <v>0</v>
          </cell>
        </row>
        <row r="11">
          <cell r="A11" t="str">
            <v>Cable</v>
          </cell>
          <cell r="B11" t="str">
            <v>HH70 Sec</v>
          </cell>
          <cell r="C11" t="str">
            <v>2110-2170</v>
          </cell>
          <cell r="D11">
            <v>-2.8</v>
          </cell>
          <cell r="E11">
            <v>2.8</v>
          </cell>
          <cell r="F11">
            <v>60</v>
          </cell>
          <cell r="G11">
            <v>60</v>
          </cell>
          <cell r="H11">
            <v>0</v>
          </cell>
        </row>
        <row r="12">
          <cell r="A12" t="str">
            <v>Cable</v>
          </cell>
          <cell r="B12" t="str">
            <v>HH70 Sec</v>
          </cell>
          <cell r="C12" t="str">
            <v>1.7G-1.9G</v>
          </cell>
          <cell r="D12">
            <v>-2.5</v>
          </cell>
          <cell r="E12">
            <v>2.5</v>
          </cell>
          <cell r="F12">
            <v>60</v>
          </cell>
          <cell r="G12">
            <v>60</v>
          </cell>
          <cell r="H12">
            <v>0</v>
          </cell>
        </row>
        <row r="13">
          <cell r="A13" t="str">
            <v>Cable</v>
          </cell>
          <cell r="B13" t="str">
            <v>HH70 Sec</v>
          </cell>
          <cell r="C13" t="str">
            <v>700-1000</v>
          </cell>
          <cell r="D13">
            <v>-1</v>
          </cell>
          <cell r="E13">
            <v>1</v>
          </cell>
          <cell r="F13">
            <v>60</v>
          </cell>
          <cell r="G13">
            <v>60</v>
          </cell>
          <cell r="H13">
            <v>0</v>
          </cell>
        </row>
        <row r="14">
          <cell r="A14" t="str">
            <v>Diplexer</v>
          </cell>
          <cell r="B14" t="str">
            <v xml:space="preserve">(L/MH)DPX252690DT-5032A1 </v>
          </cell>
          <cell r="C14" t="str">
            <v>1710 - 2690</v>
          </cell>
          <cell r="D14">
            <v>-0.55000000000000004</v>
          </cell>
          <cell r="E14">
            <v>0.55000000000000004</v>
          </cell>
          <cell r="F14">
            <v>60</v>
          </cell>
          <cell r="G14">
            <v>60</v>
          </cell>
          <cell r="H14">
            <v>0</v>
          </cell>
        </row>
        <row r="15">
          <cell r="A15" t="str">
            <v>Diplexer</v>
          </cell>
          <cell r="B15" t="str">
            <v xml:space="preserve">(L/MH)DPX252690DT-5032A1 </v>
          </cell>
          <cell r="C15" t="str">
            <v>699 - 960</v>
          </cell>
          <cell r="D15">
            <v>-0.28999999999999998</v>
          </cell>
          <cell r="E15">
            <v>0.28999999999999998</v>
          </cell>
          <cell r="F15">
            <v>60</v>
          </cell>
          <cell r="G15">
            <v>60</v>
          </cell>
          <cell r="H15">
            <v>0</v>
          </cell>
        </row>
        <row r="16">
          <cell r="A16" t="str">
            <v>Diplexer</v>
          </cell>
          <cell r="B16" t="str">
            <v>(LM/H)DPX252620DT-5218B1</v>
          </cell>
          <cell r="C16" t="str">
            <v>2110 - 2170</v>
          </cell>
          <cell r="D16">
            <v>-2.09</v>
          </cell>
          <cell r="E16">
            <v>2.09</v>
          </cell>
          <cell r="F16">
            <v>60</v>
          </cell>
          <cell r="G16">
            <v>60</v>
          </cell>
          <cell r="H16">
            <v>0</v>
          </cell>
        </row>
        <row r="17">
          <cell r="A17" t="str">
            <v>Diplexer</v>
          </cell>
          <cell r="B17" t="str">
            <v>(LM/H)DPX252620DT-5218B1</v>
          </cell>
          <cell r="C17" t="str">
            <v>1710 - 1990</v>
          </cell>
          <cell r="D17">
            <v>-0.94</v>
          </cell>
          <cell r="E17">
            <v>0.94</v>
          </cell>
          <cell r="F17">
            <v>60</v>
          </cell>
          <cell r="G17">
            <v>60</v>
          </cell>
          <cell r="H17">
            <v>0</v>
          </cell>
        </row>
        <row r="18">
          <cell r="A18" t="str">
            <v>Diplexer</v>
          </cell>
          <cell r="B18" t="str">
            <v>(LM/H)DPX252620DT-5218B1</v>
          </cell>
          <cell r="C18" t="str">
            <v>815 - 960</v>
          </cell>
          <cell r="D18">
            <v>-0.32</v>
          </cell>
          <cell r="E18">
            <v>0.32</v>
          </cell>
          <cell r="F18">
            <v>60</v>
          </cell>
          <cell r="G18">
            <v>60</v>
          </cell>
          <cell r="H18">
            <v>0</v>
          </cell>
        </row>
        <row r="19">
          <cell r="A19" t="str">
            <v>Duplexer</v>
          </cell>
          <cell r="B19" t="str">
            <v>SAYEY1G95GA0F0A(B1)</v>
          </cell>
          <cell r="C19" t="str">
            <v>2110 - 2170</v>
          </cell>
          <cell r="D19">
            <v>-1.8</v>
          </cell>
          <cell r="E19">
            <v>1.8</v>
          </cell>
          <cell r="F19">
            <v>60</v>
          </cell>
          <cell r="G19">
            <v>60</v>
          </cell>
          <cell r="H19" t="str">
            <v>B1</v>
          </cell>
        </row>
        <row r="20">
          <cell r="A20" t="str">
            <v>Duplexer</v>
          </cell>
          <cell r="B20" t="str">
            <v>SAYEY1G74BC0B0A(B3)</v>
          </cell>
          <cell r="C20" t="str">
            <v>1805 - 1880</v>
          </cell>
          <cell r="D20">
            <v>-2.4</v>
          </cell>
          <cell r="E20">
            <v>2.4</v>
          </cell>
          <cell r="F20">
            <v>60</v>
          </cell>
          <cell r="G20">
            <v>60</v>
          </cell>
          <cell r="H20" t="str">
            <v>B3</v>
          </cell>
        </row>
        <row r="21">
          <cell r="A21" t="str">
            <v>Duplexer</v>
          </cell>
          <cell r="B21" t="str">
            <v>SFX836CYA02(B5)</v>
          </cell>
          <cell r="C21" t="str">
            <v>869-894</v>
          </cell>
          <cell r="D21">
            <v>-1.7</v>
          </cell>
          <cell r="E21">
            <v>1.7</v>
          </cell>
          <cell r="F21">
            <v>60</v>
          </cell>
          <cell r="G21">
            <v>60</v>
          </cell>
          <cell r="H21" t="str">
            <v>B5</v>
          </cell>
        </row>
        <row r="22">
          <cell r="A22" t="str">
            <v>Duplexer</v>
          </cell>
          <cell r="B22" t="str">
            <v>SAYEY2G53BC0F0A(B7)</v>
          </cell>
          <cell r="C22" t="str">
            <v>2500-2570(TX)</v>
          </cell>
          <cell r="D22">
            <v>-2.2000000000000002</v>
          </cell>
          <cell r="E22">
            <v>2.2000000000000002</v>
          </cell>
          <cell r="F22">
            <v>60</v>
          </cell>
          <cell r="G22">
            <v>60</v>
          </cell>
          <cell r="H22">
            <v>0</v>
          </cell>
        </row>
        <row r="23">
          <cell r="A23" t="str">
            <v>Duplexer</v>
          </cell>
          <cell r="B23" t="str">
            <v>SAYEY2G53BC0F0A(B7)</v>
          </cell>
          <cell r="C23" t="str">
            <v>2620-2690(RX)</v>
          </cell>
          <cell r="D23">
            <v>-2</v>
          </cell>
          <cell r="E23">
            <v>2</v>
          </cell>
          <cell r="F23">
            <v>60</v>
          </cell>
          <cell r="G23">
            <v>60</v>
          </cell>
          <cell r="H23">
            <v>0</v>
          </cell>
        </row>
        <row r="24">
          <cell r="A24" t="str">
            <v>Duplexer</v>
          </cell>
          <cell r="B24" t="str">
            <v>SAYEY2G53BA0F0A(B7)</v>
          </cell>
          <cell r="C24" t="str">
            <v>2620-2690(RX)</v>
          </cell>
          <cell r="D24">
            <v>-2.1</v>
          </cell>
          <cell r="E24">
            <v>2.1</v>
          </cell>
          <cell r="F24">
            <v>60</v>
          </cell>
          <cell r="G24">
            <v>60</v>
          </cell>
          <cell r="H24">
            <v>0</v>
          </cell>
        </row>
        <row r="25">
          <cell r="A25" t="str">
            <v>Duplexer</v>
          </cell>
          <cell r="B25" t="str">
            <v>SAYEY897MBG0F0A(B8)</v>
          </cell>
          <cell r="C25" t="str">
            <v>927.5 - 957.5</v>
          </cell>
          <cell r="D25">
            <v>-2</v>
          </cell>
          <cell r="E25">
            <v>2</v>
          </cell>
          <cell r="F25">
            <v>60</v>
          </cell>
          <cell r="G25">
            <v>60</v>
          </cell>
          <cell r="H25" t="str">
            <v>B8</v>
          </cell>
        </row>
        <row r="26">
          <cell r="A26" t="str">
            <v>Duplexer</v>
          </cell>
          <cell r="B26" t="str">
            <v>SAYEY897MBA0B0A(B8)</v>
          </cell>
          <cell r="C26" t="str">
            <v>925-960</v>
          </cell>
          <cell r="D26">
            <v>-2.5</v>
          </cell>
          <cell r="E26">
            <v>2.5</v>
          </cell>
          <cell r="F26">
            <v>60</v>
          </cell>
          <cell r="G26">
            <v>60</v>
          </cell>
          <cell r="H26">
            <v>0</v>
          </cell>
        </row>
        <row r="27">
          <cell r="A27" t="str">
            <v>Duplexer</v>
          </cell>
          <cell r="B27" t="str">
            <v>SAYEY806MBA0F0A(B20)</v>
          </cell>
          <cell r="C27" t="str">
            <v>790-820</v>
          </cell>
          <cell r="D27">
            <v>-2.5</v>
          </cell>
          <cell r="E27">
            <v>2.5</v>
          </cell>
          <cell r="F27">
            <v>60</v>
          </cell>
          <cell r="G27">
            <v>60</v>
          </cell>
          <cell r="H27">
            <v>0</v>
          </cell>
        </row>
        <row r="28">
          <cell r="A28" t="str">
            <v>Duplexer</v>
          </cell>
          <cell r="B28" t="str">
            <v>SAYEY806MBC0F0A(B20)</v>
          </cell>
          <cell r="C28" t="str">
            <v>791.25-802.75</v>
          </cell>
          <cell r="D28">
            <v>-2.7</v>
          </cell>
          <cell r="E28">
            <v>2.7</v>
          </cell>
          <cell r="F28">
            <v>60</v>
          </cell>
          <cell r="G28">
            <v>60</v>
          </cell>
          <cell r="H28">
            <v>0</v>
          </cell>
        </row>
        <row r="29">
          <cell r="A29" t="str">
            <v>Duplexer</v>
          </cell>
          <cell r="B29" t="str">
            <v>SFX718BYJ02(B28A)</v>
          </cell>
          <cell r="C29" t="str">
            <v>758.24~787.76</v>
          </cell>
          <cell r="D29">
            <v>-2</v>
          </cell>
          <cell r="E29">
            <v>2</v>
          </cell>
          <cell r="F29">
            <v>60</v>
          </cell>
          <cell r="G29">
            <v>60</v>
          </cell>
          <cell r="H29" t="str">
            <v>B28A</v>
          </cell>
        </row>
        <row r="30">
          <cell r="A30" t="str">
            <v>Duplexer</v>
          </cell>
          <cell r="B30" t="str">
            <v>SFX733BYJ02(B28B)</v>
          </cell>
          <cell r="C30" t="str">
            <v>773.24-802.76</v>
          </cell>
          <cell r="D30">
            <v>-1.9</v>
          </cell>
          <cell r="E30">
            <v>1.9</v>
          </cell>
          <cell r="F30">
            <v>60</v>
          </cell>
          <cell r="G30">
            <v>60</v>
          </cell>
          <cell r="H30" t="str">
            <v>B28B</v>
          </cell>
        </row>
        <row r="31">
          <cell r="A31" t="str">
            <v>balun</v>
          </cell>
          <cell r="B31" t="str">
            <v>LDM182G4502XA012TEMP</v>
          </cell>
          <cell r="C31" t="str">
            <v>2.4G</v>
          </cell>
          <cell r="D31">
            <v>-0.61</v>
          </cell>
          <cell r="E31">
            <v>0.61</v>
          </cell>
          <cell r="F31">
            <v>60</v>
          </cell>
          <cell r="G31">
            <v>60</v>
          </cell>
          <cell r="H31">
            <v>0</v>
          </cell>
        </row>
        <row r="32">
          <cell r="A32" t="str">
            <v>Trace loss</v>
          </cell>
          <cell r="B32" t="str">
            <v>est.</v>
          </cell>
          <cell r="C32" t="str">
            <v>700-1000</v>
          </cell>
          <cell r="D32">
            <v>-0.5</v>
          </cell>
          <cell r="E32">
            <v>0.5</v>
          </cell>
          <cell r="F32">
            <v>60</v>
          </cell>
          <cell r="G32">
            <v>60</v>
          </cell>
          <cell r="H32">
            <v>0</v>
          </cell>
        </row>
        <row r="33">
          <cell r="A33" t="str">
            <v>Trace loss</v>
          </cell>
          <cell r="B33" t="str">
            <v>est.</v>
          </cell>
          <cell r="C33" t="str">
            <v>1700-2200</v>
          </cell>
          <cell r="D33">
            <v>-0.8</v>
          </cell>
          <cell r="E33">
            <v>0.8</v>
          </cell>
          <cell r="F33">
            <v>0</v>
          </cell>
          <cell r="G33">
            <v>0</v>
          </cell>
          <cell r="H33">
            <v>0</v>
          </cell>
        </row>
        <row r="34">
          <cell r="A34" t="str">
            <v>Trace loss</v>
          </cell>
          <cell r="B34" t="str">
            <v>est.</v>
          </cell>
          <cell r="C34" t="str">
            <v>2400-2700</v>
          </cell>
          <cell r="D34">
            <v>-1.1000000000000001</v>
          </cell>
          <cell r="E34">
            <v>1.1000000000000001</v>
          </cell>
          <cell r="F34">
            <v>60</v>
          </cell>
          <cell r="G34">
            <v>60</v>
          </cell>
          <cell r="H34">
            <v>0</v>
          </cell>
        </row>
        <row r="35">
          <cell r="A35" t="str">
            <v>Tranceiver</v>
          </cell>
          <cell r="B35" t="str">
            <v>WTR3925</v>
          </cell>
          <cell r="C35" t="str">
            <v>LTE(LB)</v>
          </cell>
          <cell r="D35">
            <v>56</v>
          </cell>
          <cell r="E35">
            <v>2.2999999999999998</v>
          </cell>
          <cell r="F35">
            <v>60</v>
          </cell>
          <cell r="G35">
            <v>60</v>
          </cell>
          <cell r="H35">
            <v>0</v>
          </cell>
        </row>
        <row r="36">
          <cell r="A36" t="str">
            <v>Tranceiver</v>
          </cell>
          <cell r="B36" t="str">
            <v>WTR3925</v>
          </cell>
          <cell r="C36" t="str">
            <v>LTE(MB)</v>
          </cell>
          <cell r="D36">
            <v>56</v>
          </cell>
          <cell r="E36">
            <v>2.7</v>
          </cell>
          <cell r="F36">
            <v>60</v>
          </cell>
          <cell r="G36">
            <v>60</v>
          </cell>
          <cell r="H36">
            <v>0</v>
          </cell>
        </row>
        <row r="37">
          <cell r="A37" t="str">
            <v>Tranceiver</v>
          </cell>
          <cell r="B37" t="str">
            <v>WTR3925</v>
          </cell>
          <cell r="C37" t="str">
            <v>LTE(HB)</v>
          </cell>
          <cell r="D37">
            <v>56</v>
          </cell>
          <cell r="E37">
            <v>3</v>
          </cell>
          <cell r="F37">
            <v>60</v>
          </cell>
          <cell r="G37">
            <v>60</v>
          </cell>
          <cell r="H37">
            <v>0</v>
          </cell>
        </row>
        <row r="38">
          <cell r="A38" t="str">
            <v>Tranceiver</v>
          </cell>
          <cell r="B38" t="str">
            <v>WTR2965</v>
          </cell>
          <cell r="C38" t="str">
            <v>LTE(LB)</v>
          </cell>
          <cell r="D38">
            <v>56</v>
          </cell>
          <cell r="E38">
            <v>2.2999999999999998</v>
          </cell>
          <cell r="F38">
            <v>60</v>
          </cell>
          <cell r="G38">
            <v>60</v>
          </cell>
          <cell r="H38">
            <v>0</v>
          </cell>
        </row>
        <row r="39">
          <cell r="A39" t="str">
            <v>Tranceiver</v>
          </cell>
          <cell r="B39" t="str">
            <v>WTR2965</v>
          </cell>
          <cell r="C39" t="str">
            <v>LTE(MB)</v>
          </cell>
          <cell r="D39">
            <v>56</v>
          </cell>
          <cell r="E39">
            <v>2.7</v>
          </cell>
          <cell r="F39">
            <v>60</v>
          </cell>
          <cell r="G39">
            <v>60</v>
          </cell>
          <cell r="H39">
            <v>0</v>
          </cell>
        </row>
        <row r="40">
          <cell r="A40" t="str">
            <v>Tranceiver</v>
          </cell>
          <cell r="B40" t="str">
            <v>WTR2965</v>
          </cell>
          <cell r="C40" t="str">
            <v>LTE(HB)</v>
          </cell>
          <cell r="D40">
            <v>56</v>
          </cell>
          <cell r="E40">
            <v>3</v>
          </cell>
          <cell r="F40">
            <v>60</v>
          </cell>
          <cell r="G40">
            <v>60</v>
          </cell>
          <cell r="H40">
            <v>0</v>
          </cell>
        </row>
        <row r="41">
          <cell r="A41" t="str">
            <v>Filter</v>
          </cell>
          <cell r="B41" t="str">
            <v>B39212-B9876-P810(B1)</v>
          </cell>
          <cell r="C41" t="str">
            <v>2110 - 2170</v>
          </cell>
          <cell r="D41">
            <v>-1.6</v>
          </cell>
          <cell r="E41">
            <v>1.6</v>
          </cell>
          <cell r="F41">
            <v>60</v>
          </cell>
          <cell r="G41">
            <v>60</v>
          </cell>
          <cell r="H41">
            <v>0</v>
          </cell>
        </row>
        <row r="42">
          <cell r="A42" t="str">
            <v>Filter</v>
          </cell>
          <cell r="B42" t="str">
            <v>SAFFB1G84AB0F0A(B3)</v>
          </cell>
          <cell r="C42" t="str">
            <v>1805 - 1880</v>
          </cell>
          <cell r="D42">
            <v>-1.7</v>
          </cell>
          <cell r="E42">
            <v>1.7</v>
          </cell>
          <cell r="F42">
            <v>60</v>
          </cell>
          <cell r="G42">
            <v>60</v>
          </cell>
          <cell r="H42">
            <v>0</v>
          </cell>
        </row>
        <row r="43">
          <cell r="A43" t="str">
            <v>Filter</v>
          </cell>
          <cell r="B43" t="str">
            <v>SAFFB881MAN0F0AR15(B5)</v>
          </cell>
          <cell r="C43" t="str">
            <v>871-892</v>
          </cell>
          <cell r="D43">
            <v>-1.4</v>
          </cell>
          <cell r="E43">
            <v>1.4</v>
          </cell>
          <cell r="F43">
            <v>60</v>
          </cell>
          <cell r="G43">
            <v>60</v>
          </cell>
          <cell r="H43">
            <v>0</v>
          </cell>
        </row>
        <row r="44">
          <cell r="A44" t="str">
            <v>Filter</v>
          </cell>
          <cell r="B44" t="str">
            <v>SFHG56BA002(B7)</v>
          </cell>
          <cell r="C44" t="str">
            <v>2620-2690</v>
          </cell>
          <cell r="D44">
            <v>-1.85</v>
          </cell>
          <cell r="E44">
            <v>1.85</v>
          </cell>
          <cell r="F44">
            <v>60</v>
          </cell>
          <cell r="G44">
            <v>60</v>
          </cell>
          <cell r="H44">
            <v>0</v>
          </cell>
        </row>
        <row r="45">
          <cell r="A45" t="str">
            <v>Filter</v>
          </cell>
          <cell r="B45" t="str">
            <v>SAFFB2G65AA0F0A(B7)</v>
          </cell>
          <cell r="C45" t="str">
            <v>2620-2690</v>
          </cell>
          <cell r="D45">
            <v>-1.8</v>
          </cell>
          <cell r="E45">
            <v>1.8</v>
          </cell>
          <cell r="F45">
            <v>60</v>
          </cell>
          <cell r="G45">
            <v>60</v>
          </cell>
          <cell r="H45">
            <v>0</v>
          </cell>
        </row>
        <row r="46">
          <cell r="A46" t="str">
            <v>Filter</v>
          </cell>
          <cell r="B46" t="str">
            <v>SAFFB942MAN0F0A(B8)</v>
          </cell>
          <cell r="C46" t="str">
            <v>925-960</v>
          </cell>
          <cell r="D46">
            <v>-2</v>
          </cell>
          <cell r="E46">
            <v>2</v>
          </cell>
          <cell r="F46">
            <v>60</v>
          </cell>
          <cell r="G46">
            <v>60</v>
          </cell>
          <cell r="H46">
            <v>0</v>
          </cell>
        </row>
        <row r="47">
          <cell r="A47" t="str">
            <v>Filter</v>
          </cell>
          <cell r="B47" t="str">
            <v>SFH806BA002(B20)</v>
          </cell>
          <cell r="C47" t="str">
            <v>791-821</v>
          </cell>
          <cell r="D47">
            <v>-2.2000000000000002</v>
          </cell>
          <cell r="E47">
            <v>2.2000000000000002</v>
          </cell>
          <cell r="F47">
            <v>60</v>
          </cell>
          <cell r="G47">
            <v>60</v>
          </cell>
          <cell r="H47">
            <v>0</v>
          </cell>
        </row>
        <row r="48">
          <cell r="A48" t="str">
            <v>Filter</v>
          </cell>
          <cell r="B48" t="str">
            <v>SAFFB806MAA0F0A(B20)</v>
          </cell>
          <cell r="C48" t="str">
            <v>791-8121</v>
          </cell>
          <cell r="D48">
            <v>-2.2000000000000002</v>
          </cell>
          <cell r="E48">
            <v>2.2000000000000002</v>
          </cell>
          <cell r="F48">
            <v>60</v>
          </cell>
          <cell r="G48">
            <v>60</v>
          </cell>
          <cell r="H48">
            <v>0</v>
          </cell>
        </row>
        <row r="49">
          <cell r="A49" t="str">
            <v>Filter</v>
          </cell>
          <cell r="B49" t="str">
            <v>SFH773AA002(B28A)</v>
          </cell>
          <cell r="C49" t="str">
            <v xml:space="preserve">758-788 </v>
          </cell>
          <cell r="D49">
            <v>-2</v>
          </cell>
          <cell r="E49">
            <v>2</v>
          </cell>
          <cell r="F49">
            <v>60</v>
          </cell>
          <cell r="G49">
            <v>60</v>
          </cell>
          <cell r="H49">
            <v>0</v>
          </cell>
        </row>
        <row r="50">
          <cell r="A50" t="str">
            <v>Filter</v>
          </cell>
          <cell r="B50" t="str">
            <v>SFH788AA002(B28B)</v>
          </cell>
          <cell r="C50" t="str">
            <v>773-803</v>
          </cell>
          <cell r="D50">
            <v>-1.9</v>
          </cell>
          <cell r="E50">
            <v>1.9</v>
          </cell>
          <cell r="F50">
            <v>60</v>
          </cell>
          <cell r="G50">
            <v>60</v>
          </cell>
          <cell r="H50">
            <v>0</v>
          </cell>
        </row>
        <row r="51">
          <cell r="A51" t="str">
            <v>Filter</v>
          </cell>
          <cell r="B51" t="str">
            <v>SAFFB2G59AA0F0A(B38RX)</v>
          </cell>
          <cell r="C51" t="str">
            <v>2570-2620</v>
          </cell>
          <cell r="D51">
            <v>-1.5</v>
          </cell>
          <cell r="E51">
            <v>1.5</v>
          </cell>
          <cell r="F51">
            <v>60</v>
          </cell>
          <cell r="G51">
            <v>60</v>
          </cell>
          <cell r="H51">
            <v>0</v>
          </cell>
        </row>
        <row r="52">
          <cell r="A52" t="str">
            <v>Filter</v>
          </cell>
          <cell r="B52" t="str">
            <v>SAFFB2G35AA0F0A(B40RX)</v>
          </cell>
          <cell r="C52" t="str">
            <v>2300-2400</v>
          </cell>
          <cell r="D52">
            <v>-2.5</v>
          </cell>
          <cell r="E52">
            <v>2.5</v>
          </cell>
          <cell r="F52">
            <v>60</v>
          </cell>
          <cell r="G52">
            <v>60</v>
          </cell>
          <cell r="H52">
            <v>0</v>
          </cell>
        </row>
        <row r="53">
          <cell r="A53" t="str">
            <v>Filter</v>
          </cell>
          <cell r="B53" t="str">
            <v>SAFEA2G35MC0F0A(B40TX)</v>
          </cell>
          <cell r="C53" t="str">
            <v>2300-2400</v>
          </cell>
          <cell r="D53">
            <v>-2.8</v>
          </cell>
          <cell r="E53">
            <v>2.8</v>
          </cell>
          <cell r="F53">
            <v>60</v>
          </cell>
          <cell r="G53">
            <v>60</v>
          </cell>
          <cell r="H53">
            <v>0</v>
          </cell>
        </row>
        <row r="54">
          <cell r="A54" t="str">
            <v>Filter</v>
          </cell>
          <cell r="B54" t="str">
            <v>SAFRG2G59MA0F0A(B41TX)</v>
          </cell>
          <cell r="C54" t="str">
            <v>2496-2690</v>
          </cell>
          <cell r="D54">
            <v>-3</v>
          </cell>
          <cell r="E54">
            <v>3</v>
          </cell>
          <cell r="F54">
            <v>60</v>
          </cell>
          <cell r="G54">
            <v>60</v>
          </cell>
          <cell r="H54">
            <v>0</v>
          </cell>
        </row>
        <row r="55">
          <cell r="A55" t="str">
            <v>Filter</v>
          </cell>
          <cell r="B55" t="str">
            <v>SAFRG2G59MA0F0A(B41TX)</v>
          </cell>
          <cell r="C55" t="str">
            <v>2570-2620(B38)</v>
          </cell>
          <cell r="D55">
            <v>-2.1</v>
          </cell>
          <cell r="E55">
            <v>2.1</v>
          </cell>
          <cell r="F55">
            <v>60</v>
          </cell>
          <cell r="G55">
            <v>60</v>
          </cell>
          <cell r="H55">
            <v>0</v>
          </cell>
        </row>
        <row r="56">
          <cell r="A56" t="str">
            <v>Filter</v>
          </cell>
          <cell r="B56">
            <v>885033</v>
          </cell>
          <cell r="C56" t="str">
            <v>2.4G</v>
          </cell>
          <cell r="D56">
            <v>-1.7</v>
          </cell>
          <cell r="E56">
            <v>1.7</v>
          </cell>
          <cell r="F56">
            <v>60</v>
          </cell>
          <cell r="G56">
            <v>60</v>
          </cell>
          <cell r="H56">
            <v>0</v>
          </cell>
        </row>
        <row r="57">
          <cell r="A57" t="str">
            <v>Filter</v>
          </cell>
          <cell r="B57" t="str">
            <v>LFL181G95TF1D802(HB-LPF)</v>
          </cell>
          <cell r="C57" t="str">
            <v>1880-2025</v>
          </cell>
          <cell r="D57">
            <v>-1.03</v>
          </cell>
          <cell r="E57">
            <v>1.03</v>
          </cell>
          <cell r="F57">
            <v>60</v>
          </cell>
          <cell r="G57">
            <v>60</v>
          </cell>
          <cell r="H57">
            <v>0</v>
          </cell>
        </row>
        <row r="58">
          <cell r="A58" t="str">
            <v>Filter</v>
          </cell>
          <cell r="B58" t="str">
            <v>LFL18829MTCRD627(LB-LPF)</v>
          </cell>
          <cell r="C58">
            <v>915</v>
          </cell>
          <cell r="D58">
            <v>-0.75</v>
          </cell>
          <cell r="E58">
            <v>0.75</v>
          </cell>
          <cell r="F58">
            <v>60</v>
          </cell>
          <cell r="G58">
            <v>60</v>
          </cell>
          <cell r="H58">
            <v>0</v>
          </cell>
        </row>
        <row r="59">
          <cell r="A59" t="str">
            <v>Filter</v>
          </cell>
          <cell r="B59" t="str">
            <v>LFL18829MTCRD627(LB-LPF)</v>
          </cell>
          <cell r="C59">
            <v>960</v>
          </cell>
          <cell r="D59">
            <v>-0.9</v>
          </cell>
          <cell r="E59">
            <v>0.9</v>
          </cell>
          <cell r="F59">
            <v>60</v>
          </cell>
          <cell r="G59">
            <v>60</v>
          </cell>
          <cell r="H59">
            <v>0</v>
          </cell>
        </row>
        <row r="60">
          <cell r="A60" t="str">
            <v>Switcher</v>
          </cell>
          <cell r="B60" t="str">
            <v>RTC8612H</v>
          </cell>
          <cell r="C60" t="str">
            <v>2.4G</v>
          </cell>
          <cell r="D60">
            <v>-0.7</v>
          </cell>
          <cell r="E60">
            <v>0.7</v>
          </cell>
          <cell r="F60">
            <v>60</v>
          </cell>
          <cell r="G60">
            <v>60</v>
          </cell>
          <cell r="H60">
            <v>0</v>
          </cell>
        </row>
        <row r="61">
          <cell r="A61" t="str">
            <v>Switcher</v>
          </cell>
          <cell r="B61" t="str">
            <v>RTC8612H</v>
          </cell>
          <cell r="C61" t="str">
            <v>1G</v>
          </cell>
          <cell r="D61">
            <v>-0.5</v>
          </cell>
          <cell r="E61">
            <v>0.7</v>
          </cell>
          <cell r="F61">
            <v>60</v>
          </cell>
          <cell r="G61">
            <v>60</v>
          </cell>
          <cell r="H61">
            <v>0</v>
          </cell>
        </row>
        <row r="62">
          <cell r="A62" t="str">
            <v>Switcher</v>
          </cell>
          <cell r="B62" t="str">
            <v>AS186-302</v>
          </cell>
          <cell r="C62" t="str">
            <v>工作频段</v>
          </cell>
          <cell r="D62">
            <v>-0.8</v>
          </cell>
          <cell r="E62">
            <v>0.8</v>
          </cell>
          <cell r="F62">
            <v>30</v>
          </cell>
          <cell r="G62">
            <v>46</v>
          </cell>
          <cell r="H62">
            <v>0</v>
          </cell>
        </row>
        <row r="63">
          <cell r="A63" t="str">
            <v>Switcher</v>
          </cell>
          <cell r="B63" t="str">
            <v>QFE1045</v>
          </cell>
          <cell r="C63" t="str">
            <v>2100 - 2170</v>
          </cell>
          <cell r="D63">
            <v>-1.18</v>
          </cell>
          <cell r="E63">
            <v>1.18</v>
          </cell>
          <cell r="F63">
            <v>60</v>
          </cell>
          <cell r="G63">
            <v>60</v>
          </cell>
          <cell r="H63">
            <v>0</v>
          </cell>
        </row>
        <row r="64">
          <cell r="A64" t="str">
            <v>Switcher</v>
          </cell>
          <cell r="B64" t="str">
            <v>QFE1045</v>
          </cell>
          <cell r="C64" t="str">
            <v>1710 - 1995</v>
          </cell>
          <cell r="D64">
            <v>-1.1499999999999999</v>
          </cell>
          <cell r="E64">
            <v>1.1499999999999999</v>
          </cell>
          <cell r="F64">
            <v>60</v>
          </cell>
          <cell r="G64">
            <v>60</v>
          </cell>
          <cell r="H64">
            <v>0</v>
          </cell>
        </row>
        <row r="65">
          <cell r="A65" t="str">
            <v>Switcher</v>
          </cell>
          <cell r="B65" t="str">
            <v>QFE1040</v>
          </cell>
          <cell r="C65" t="str">
            <v>1960-2170</v>
          </cell>
          <cell r="D65">
            <v>-0.6</v>
          </cell>
          <cell r="E65">
            <v>0.6</v>
          </cell>
          <cell r="F65">
            <v>60</v>
          </cell>
          <cell r="G65">
            <v>60</v>
          </cell>
          <cell r="H65">
            <v>0</v>
          </cell>
        </row>
        <row r="66">
          <cell r="A66" t="str">
            <v>Switcher</v>
          </cell>
          <cell r="B66" t="str">
            <v>QFE1040</v>
          </cell>
          <cell r="C66" t="str">
            <v>1710 - 1960</v>
          </cell>
          <cell r="D66">
            <v>-0.5</v>
          </cell>
          <cell r="E66">
            <v>0.5</v>
          </cell>
          <cell r="F66">
            <v>60</v>
          </cell>
          <cell r="G66">
            <v>60</v>
          </cell>
          <cell r="H66">
            <v>0</v>
          </cell>
        </row>
        <row r="67">
          <cell r="A67" t="str">
            <v>Switcher</v>
          </cell>
          <cell r="B67" t="str">
            <v>QFE1040</v>
          </cell>
          <cell r="C67" t="str">
            <v>700-960</v>
          </cell>
          <cell r="D67">
            <v>-0.45</v>
          </cell>
          <cell r="E67">
            <v>0.45</v>
          </cell>
          <cell r="F67">
            <v>60</v>
          </cell>
          <cell r="G67">
            <v>60</v>
          </cell>
          <cell r="H67">
            <v>0</v>
          </cell>
        </row>
        <row r="68">
          <cell r="A68" t="str">
            <v>Switcher</v>
          </cell>
          <cell r="B68" t="str">
            <v>QFE1035</v>
          </cell>
          <cell r="C68" t="str">
            <v>699-960</v>
          </cell>
          <cell r="D68">
            <v>-0.76</v>
          </cell>
          <cell r="E68">
            <v>0.76</v>
          </cell>
          <cell r="F68">
            <v>60</v>
          </cell>
          <cell r="G68">
            <v>60</v>
          </cell>
          <cell r="H68">
            <v>0</v>
          </cell>
        </row>
        <row r="69">
          <cell r="A69" t="str">
            <v>Switcher</v>
          </cell>
          <cell r="B69" t="str">
            <v>RF1680</v>
          </cell>
          <cell r="C69" t="str">
            <v>1710-2170</v>
          </cell>
          <cell r="D69">
            <v>-0.3</v>
          </cell>
          <cell r="E69">
            <v>0.3</v>
          </cell>
          <cell r="F69">
            <v>60</v>
          </cell>
          <cell r="G69">
            <v>60</v>
          </cell>
          <cell r="H69">
            <v>0</v>
          </cell>
        </row>
        <row r="70">
          <cell r="A70" t="str">
            <v>Switcher</v>
          </cell>
          <cell r="B70" t="str">
            <v>RF1680</v>
          </cell>
          <cell r="C70" t="str">
            <v>704-960</v>
          </cell>
          <cell r="D70">
            <v>-0.3</v>
          </cell>
          <cell r="E70">
            <v>0.3</v>
          </cell>
          <cell r="F70">
            <v>60</v>
          </cell>
          <cell r="G70">
            <v>60</v>
          </cell>
          <cell r="H70">
            <v>0</v>
          </cell>
        </row>
        <row r="71">
          <cell r="A71" t="str">
            <v>Switcher</v>
          </cell>
          <cell r="B71" t="str">
            <v>RF1680</v>
          </cell>
          <cell r="C71" t="str">
            <v>2500-2690</v>
          </cell>
          <cell r="D71">
            <v>-0.4</v>
          </cell>
          <cell r="E71">
            <v>0.4</v>
          </cell>
          <cell r="F71">
            <v>60</v>
          </cell>
          <cell r="G71">
            <v>60</v>
          </cell>
          <cell r="H71">
            <v>0</v>
          </cell>
        </row>
        <row r="72">
          <cell r="A72" t="str">
            <v>Switcher</v>
          </cell>
          <cell r="B72" t="str">
            <v>RF1656</v>
          </cell>
          <cell r="C72" t="str">
            <v>704-960</v>
          </cell>
          <cell r="D72">
            <v>-0.38</v>
          </cell>
          <cell r="E72">
            <v>0.38</v>
          </cell>
          <cell r="F72">
            <v>60</v>
          </cell>
          <cell r="G72">
            <v>60</v>
          </cell>
          <cell r="H72">
            <v>0</v>
          </cell>
        </row>
        <row r="73">
          <cell r="A73" t="str">
            <v>Switcher</v>
          </cell>
          <cell r="B73" t="str">
            <v>RF1656</v>
          </cell>
          <cell r="C73" t="str">
            <v>1710-2170</v>
          </cell>
          <cell r="D73">
            <v>-0.55000000000000004</v>
          </cell>
          <cell r="E73">
            <v>0.55000000000000004</v>
          </cell>
          <cell r="F73">
            <v>60</v>
          </cell>
          <cell r="G73">
            <v>60</v>
          </cell>
          <cell r="H73">
            <v>0</v>
          </cell>
        </row>
        <row r="74">
          <cell r="A74" t="str">
            <v>Switcher</v>
          </cell>
          <cell r="B74" t="str">
            <v>RF1656</v>
          </cell>
          <cell r="C74" t="str">
            <v>2300-2690</v>
          </cell>
          <cell r="D74">
            <v>-0.67</v>
          </cell>
          <cell r="E74">
            <v>0.67</v>
          </cell>
          <cell r="F74">
            <v>60</v>
          </cell>
          <cell r="G74">
            <v>60</v>
          </cell>
          <cell r="H74">
            <v>0</v>
          </cell>
        </row>
        <row r="75">
          <cell r="A75" t="str">
            <v>Tx module</v>
          </cell>
          <cell r="B75" t="str">
            <v>QM57508</v>
          </cell>
          <cell r="C75" t="str">
            <v>(ANT L)699-960</v>
          </cell>
          <cell r="D75">
            <v>-0.57999999999999996</v>
          </cell>
          <cell r="E75">
            <v>0.57999999999999996</v>
          </cell>
          <cell r="F75">
            <v>60</v>
          </cell>
          <cell r="G75">
            <v>60</v>
          </cell>
          <cell r="H75">
            <v>0</v>
          </cell>
        </row>
        <row r="76">
          <cell r="A76" t="str">
            <v>Tx module</v>
          </cell>
          <cell r="B76" t="str">
            <v>QM57508</v>
          </cell>
          <cell r="C76" t="str">
            <v>(ANT M)1427-2170</v>
          </cell>
          <cell r="D76">
            <v>-0.78</v>
          </cell>
          <cell r="E76">
            <v>0.78</v>
          </cell>
          <cell r="F76">
            <v>60</v>
          </cell>
          <cell r="G76">
            <v>60</v>
          </cell>
          <cell r="H76">
            <v>0</v>
          </cell>
        </row>
        <row r="77">
          <cell r="A77" t="str">
            <v>Tx module</v>
          </cell>
          <cell r="B77" t="str">
            <v>QM57508</v>
          </cell>
          <cell r="C77" t="str">
            <v>(ANT H)1427-2690</v>
          </cell>
          <cell r="D77">
            <v>-0.7</v>
          </cell>
          <cell r="E77">
            <v>0.7</v>
          </cell>
          <cell r="F77">
            <v>60</v>
          </cell>
          <cell r="G77">
            <v>60</v>
          </cell>
          <cell r="H77">
            <v>0</v>
          </cell>
        </row>
        <row r="78">
          <cell r="A78" t="str">
            <v>Tx module</v>
          </cell>
          <cell r="B78" t="str">
            <v>QM57508</v>
          </cell>
          <cell r="C78" t="str">
            <v>(ANT H)3400-3800</v>
          </cell>
          <cell r="D78">
            <v>-1</v>
          </cell>
          <cell r="E78">
            <v>1</v>
          </cell>
          <cell r="F78">
            <v>60</v>
          </cell>
          <cell r="G78">
            <v>60</v>
          </cell>
          <cell r="H78">
            <v>0</v>
          </cell>
        </row>
        <row r="79">
          <cell r="A79" t="str">
            <v>Tx module</v>
          </cell>
          <cell r="B79" t="str">
            <v>QM57508</v>
          </cell>
          <cell r="C79" t="str">
            <v>(ANT H)5150-5850</v>
          </cell>
          <cell r="D79">
            <v>-1.07</v>
          </cell>
          <cell r="E79">
            <v>1.07</v>
          </cell>
          <cell r="F79">
            <v>60</v>
          </cell>
          <cell r="G79">
            <v>60</v>
          </cell>
          <cell r="H79">
            <v>0</v>
          </cell>
        </row>
        <row r="80">
          <cell r="A80" t="str">
            <v>Tx module</v>
          </cell>
          <cell r="B80" t="str">
            <v>RF5212A</v>
          </cell>
          <cell r="C80" t="str">
            <v>ANT L</v>
          </cell>
          <cell r="D80">
            <v>-0.8</v>
          </cell>
          <cell r="E80">
            <v>0.8</v>
          </cell>
          <cell r="F80">
            <v>60</v>
          </cell>
          <cell r="G80">
            <v>60</v>
          </cell>
          <cell r="H80">
            <v>0</v>
          </cell>
        </row>
        <row r="81">
          <cell r="A81" t="str">
            <v>Tx module</v>
          </cell>
          <cell r="B81" t="str">
            <v>RF5212A</v>
          </cell>
          <cell r="C81" t="str">
            <v>ANT M</v>
          </cell>
          <cell r="D81">
            <v>-1.3</v>
          </cell>
          <cell r="E81">
            <v>1.3</v>
          </cell>
          <cell r="F81">
            <v>60</v>
          </cell>
          <cell r="G81">
            <v>60</v>
          </cell>
          <cell r="H81">
            <v>0</v>
          </cell>
        </row>
        <row r="82">
          <cell r="A82" t="str">
            <v>Tx module</v>
          </cell>
          <cell r="B82" t="str">
            <v>RF5212A</v>
          </cell>
          <cell r="C82" t="str">
            <v>ANT H</v>
          </cell>
          <cell r="D82">
            <v>-1.1000000000000001</v>
          </cell>
          <cell r="E82">
            <v>1.1000000000000001</v>
          </cell>
          <cell r="F82">
            <v>60</v>
          </cell>
          <cell r="G82">
            <v>60</v>
          </cell>
          <cell r="H82">
            <v>0</v>
          </cell>
        </row>
        <row r="83">
          <cell r="A83" t="str">
            <v>Multiplexer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</row>
        <row r="84">
          <cell r="A84" t="str">
            <v>LNA</v>
          </cell>
          <cell r="B84" t="str">
            <v>SPF5043Z</v>
          </cell>
          <cell r="C84" t="str">
            <v>900M</v>
          </cell>
          <cell r="D84">
            <v>18.2</v>
          </cell>
          <cell r="E84">
            <v>0.8</v>
          </cell>
          <cell r="F84">
            <v>22.6</v>
          </cell>
          <cell r="G84">
            <v>33</v>
          </cell>
          <cell r="H84">
            <v>0</v>
          </cell>
        </row>
        <row r="85">
          <cell r="A85" t="str">
            <v>LNA</v>
          </cell>
          <cell r="B85" t="str">
            <v>SPF5043Z</v>
          </cell>
          <cell r="C85" t="str">
            <v>1.9G</v>
          </cell>
          <cell r="D85">
            <v>12.9</v>
          </cell>
          <cell r="E85">
            <v>0.8</v>
          </cell>
          <cell r="F85">
            <v>22.7</v>
          </cell>
          <cell r="G85">
            <v>35</v>
          </cell>
          <cell r="H85">
            <v>0</v>
          </cell>
        </row>
        <row r="86">
          <cell r="A86" t="str">
            <v>LNA</v>
          </cell>
          <cell r="B86" t="str">
            <v>ATF54143</v>
          </cell>
          <cell r="C86" t="str">
            <v>900M</v>
          </cell>
          <cell r="D86">
            <v>23.4</v>
          </cell>
          <cell r="E86">
            <v>0.3</v>
          </cell>
          <cell r="F86">
            <v>18.399999999999999</v>
          </cell>
          <cell r="G86">
            <v>35.5</v>
          </cell>
          <cell r="H86">
            <v>0</v>
          </cell>
        </row>
        <row r="87">
          <cell r="A87" t="str">
            <v>LNA</v>
          </cell>
          <cell r="B87" t="str">
            <v>ATF54143</v>
          </cell>
          <cell r="C87" t="str">
            <v>2G</v>
          </cell>
          <cell r="D87">
            <v>16.600000000000001</v>
          </cell>
          <cell r="E87">
            <v>0.5</v>
          </cell>
          <cell r="F87">
            <v>20.399999999999999</v>
          </cell>
          <cell r="G87">
            <v>36.200000000000003</v>
          </cell>
          <cell r="H87">
            <v>0</v>
          </cell>
        </row>
        <row r="88">
          <cell r="A88" t="str">
            <v>LNA</v>
          </cell>
          <cell r="B88" t="str">
            <v>MXD8015H</v>
          </cell>
          <cell r="C88" t="str">
            <v>1800-2200</v>
          </cell>
          <cell r="D88">
            <v>15</v>
          </cell>
          <cell r="E88">
            <v>0.7</v>
          </cell>
          <cell r="F88">
            <v>15</v>
          </cell>
          <cell r="G88">
            <v>16</v>
          </cell>
          <cell r="H88">
            <v>0</v>
          </cell>
        </row>
        <row r="89">
          <cell r="A89" t="str">
            <v>PA</v>
          </cell>
          <cell r="B89" t="str">
            <v>QM56022(switcher)</v>
          </cell>
          <cell r="C89" t="str">
            <v>2300-2690</v>
          </cell>
          <cell r="D89">
            <v>-1</v>
          </cell>
          <cell r="E89">
            <v>1</v>
          </cell>
          <cell r="F89">
            <v>60</v>
          </cell>
          <cell r="G89">
            <v>60</v>
          </cell>
          <cell r="H89">
            <v>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lnDef>
      <a:spPr>
        <a:ln w="31750">
          <a:solidFill>
            <a:schemeClr val="accent3">
              <a:lumMod val="75000"/>
            </a:schemeClr>
          </a:solidFill>
        </a:ln>
      </a:spPr>
      <a:bodyPr/>
      <a:lstStyle/>
      <a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3.xml"/><Relationship Id="rId21" Type="http://schemas.openxmlformats.org/officeDocument/2006/relationships/ctrlProp" Target="../ctrlProps/ctrlProp8.xml"/><Relationship Id="rId42" Type="http://schemas.openxmlformats.org/officeDocument/2006/relationships/ctrlProp" Target="../ctrlProps/ctrlProp29.xml"/><Relationship Id="rId47" Type="http://schemas.openxmlformats.org/officeDocument/2006/relationships/ctrlProp" Target="../ctrlProps/ctrlProp34.xml"/><Relationship Id="rId63" Type="http://schemas.openxmlformats.org/officeDocument/2006/relationships/ctrlProp" Target="../ctrlProps/ctrlProp50.xml"/><Relationship Id="rId68" Type="http://schemas.openxmlformats.org/officeDocument/2006/relationships/ctrlProp" Target="../ctrlProps/ctrlProp55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3.xml"/><Relationship Id="rId29" Type="http://schemas.openxmlformats.org/officeDocument/2006/relationships/ctrlProp" Target="../ctrlProps/ctrlProp16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11.xml"/><Relationship Id="rId32" Type="http://schemas.openxmlformats.org/officeDocument/2006/relationships/ctrlProp" Target="../ctrlProps/ctrlProp19.xml"/><Relationship Id="rId37" Type="http://schemas.openxmlformats.org/officeDocument/2006/relationships/ctrlProp" Target="../ctrlProps/ctrlProp24.xml"/><Relationship Id="rId40" Type="http://schemas.openxmlformats.org/officeDocument/2006/relationships/ctrlProp" Target="../ctrlProps/ctrlProp27.xml"/><Relationship Id="rId45" Type="http://schemas.openxmlformats.org/officeDocument/2006/relationships/ctrlProp" Target="../ctrlProps/ctrlProp32.xml"/><Relationship Id="rId53" Type="http://schemas.openxmlformats.org/officeDocument/2006/relationships/ctrlProp" Target="../ctrlProps/ctrlProp40.xml"/><Relationship Id="rId58" Type="http://schemas.openxmlformats.org/officeDocument/2006/relationships/ctrlProp" Target="../ctrlProps/ctrlProp45.xml"/><Relationship Id="rId66" Type="http://schemas.openxmlformats.org/officeDocument/2006/relationships/ctrlProp" Target="../ctrlProps/ctrlProp53.xml"/><Relationship Id="rId5" Type="http://schemas.openxmlformats.org/officeDocument/2006/relationships/image" Target="../media/image1.emf"/><Relationship Id="rId61" Type="http://schemas.openxmlformats.org/officeDocument/2006/relationships/ctrlProp" Target="../ctrlProps/ctrlProp48.xml"/><Relationship Id="rId19" Type="http://schemas.openxmlformats.org/officeDocument/2006/relationships/ctrlProp" Target="../ctrlProps/ctrlProp6.xml"/><Relationship Id="rId14" Type="http://schemas.openxmlformats.org/officeDocument/2006/relationships/ctrlProp" Target="../ctrlProps/ctrlProp1.xml"/><Relationship Id="rId22" Type="http://schemas.openxmlformats.org/officeDocument/2006/relationships/ctrlProp" Target="../ctrlProps/ctrlProp9.xml"/><Relationship Id="rId27" Type="http://schemas.openxmlformats.org/officeDocument/2006/relationships/ctrlProp" Target="../ctrlProps/ctrlProp14.xml"/><Relationship Id="rId30" Type="http://schemas.openxmlformats.org/officeDocument/2006/relationships/ctrlProp" Target="../ctrlProps/ctrlProp17.xml"/><Relationship Id="rId35" Type="http://schemas.openxmlformats.org/officeDocument/2006/relationships/ctrlProp" Target="../ctrlProps/ctrlProp22.xml"/><Relationship Id="rId43" Type="http://schemas.openxmlformats.org/officeDocument/2006/relationships/ctrlProp" Target="../ctrlProps/ctrlProp30.xml"/><Relationship Id="rId48" Type="http://schemas.openxmlformats.org/officeDocument/2006/relationships/ctrlProp" Target="../ctrlProps/ctrlProp35.xml"/><Relationship Id="rId56" Type="http://schemas.openxmlformats.org/officeDocument/2006/relationships/ctrlProp" Target="../ctrlProps/ctrlProp43.xml"/><Relationship Id="rId64" Type="http://schemas.openxmlformats.org/officeDocument/2006/relationships/ctrlProp" Target="../ctrlProps/ctrlProp51.xml"/><Relationship Id="rId69" Type="http://schemas.openxmlformats.org/officeDocument/2006/relationships/ctrlProp" Target="../ctrlProps/ctrlProp56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38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5" Type="http://schemas.openxmlformats.org/officeDocument/2006/relationships/ctrlProp" Target="../ctrlProps/ctrlProp12.xml"/><Relationship Id="rId33" Type="http://schemas.openxmlformats.org/officeDocument/2006/relationships/ctrlProp" Target="../ctrlProps/ctrlProp20.xml"/><Relationship Id="rId38" Type="http://schemas.openxmlformats.org/officeDocument/2006/relationships/ctrlProp" Target="../ctrlProps/ctrlProp25.xml"/><Relationship Id="rId46" Type="http://schemas.openxmlformats.org/officeDocument/2006/relationships/ctrlProp" Target="../ctrlProps/ctrlProp33.xml"/><Relationship Id="rId59" Type="http://schemas.openxmlformats.org/officeDocument/2006/relationships/ctrlProp" Target="../ctrlProps/ctrlProp46.xml"/><Relationship Id="rId67" Type="http://schemas.openxmlformats.org/officeDocument/2006/relationships/ctrlProp" Target="../ctrlProps/ctrlProp54.xml"/><Relationship Id="rId20" Type="http://schemas.openxmlformats.org/officeDocument/2006/relationships/ctrlProp" Target="../ctrlProps/ctrlProp7.xml"/><Relationship Id="rId41" Type="http://schemas.openxmlformats.org/officeDocument/2006/relationships/ctrlProp" Target="../ctrlProps/ctrlProp28.xml"/><Relationship Id="rId54" Type="http://schemas.openxmlformats.org/officeDocument/2006/relationships/ctrlProp" Target="../ctrlProps/ctrlProp41.xml"/><Relationship Id="rId62" Type="http://schemas.openxmlformats.org/officeDocument/2006/relationships/ctrlProp" Target="../ctrlProps/ctrlProp4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2.xml"/><Relationship Id="rId23" Type="http://schemas.openxmlformats.org/officeDocument/2006/relationships/ctrlProp" Target="../ctrlProps/ctrlProp10.xml"/><Relationship Id="rId28" Type="http://schemas.openxmlformats.org/officeDocument/2006/relationships/ctrlProp" Target="../ctrlProps/ctrlProp15.xml"/><Relationship Id="rId36" Type="http://schemas.openxmlformats.org/officeDocument/2006/relationships/ctrlProp" Target="../ctrlProps/ctrlProp23.xml"/><Relationship Id="rId49" Type="http://schemas.openxmlformats.org/officeDocument/2006/relationships/ctrlProp" Target="../ctrlProps/ctrlProp36.xml"/><Relationship Id="rId57" Type="http://schemas.openxmlformats.org/officeDocument/2006/relationships/ctrlProp" Target="../ctrlProps/ctrlProp44.xml"/><Relationship Id="rId10" Type="http://schemas.openxmlformats.org/officeDocument/2006/relationships/control" Target="../activeX/activeX4.xml"/><Relationship Id="rId31" Type="http://schemas.openxmlformats.org/officeDocument/2006/relationships/ctrlProp" Target="../ctrlProps/ctrlProp18.xml"/><Relationship Id="rId44" Type="http://schemas.openxmlformats.org/officeDocument/2006/relationships/ctrlProp" Target="../ctrlProps/ctrlProp31.xml"/><Relationship Id="rId52" Type="http://schemas.openxmlformats.org/officeDocument/2006/relationships/ctrlProp" Target="../ctrlProps/ctrlProp39.xml"/><Relationship Id="rId60" Type="http://schemas.openxmlformats.org/officeDocument/2006/relationships/ctrlProp" Target="../ctrlProps/ctrlProp47.xml"/><Relationship Id="rId65" Type="http://schemas.openxmlformats.org/officeDocument/2006/relationships/ctrlProp" Target="../ctrlProps/ctrlProp5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trlProp" Target="../ctrlProps/ctrlProp5.xml"/><Relationship Id="rId39" Type="http://schemas.openxmlformats.org/officeDocument/2006/relationships/ctrlProp" Target="../ctrlProps/ctrlProp26.xml"/><Relationship Id="rId34" Type="http://schemas.openxmlformats.org/officeDocument/2006/relationships/ctrlProp" Target="../ctrlProps/ctrlProp21.xml"/><Relationship Id="rId50" Type="http://schemas.openxmlformats.org/officeDocument/2006/relationships/ctrlProp" Target="../ctrlProps/ctrlProp37.xml"/><Relationship Id="rId55" Type="http://schemas.openxmlformats.org/officeDocument/2006/relationships/ctrlProp" Target="../ctrlProps/ctrlProp42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9.xml"/><Relationship Id="rId21" Type="http://schemas.openxmlformats.org/officeDocument/2006/relationships/ctrlProp" Target="../ctrlProps/ctrlProp64.xml"/><Relationship Id="rId42" Type="http://schemas.openxmlformats.org/officeDocument/2006/relationships/ctrlProp" Target="../ctrlProps/ctrlProp85.xml"/><Relationship Id="rId47" Type="http://schemas.openxmlformats.org/officeDocument/2006/relationships/ctrlProp" Target="../ctrlProps/ctrlProp90.xml"/><Relationship Id="rId63" Type="http://schemas.openxmlformats.org/officeDocument/2006/relationships/ctrlProp" Target="../ctrlProps/ctrlProp106.xml"/><Relationship Id="rId68" Type="http://schemas.openxmlformats.org/officeDocument/2006/relationships/ctrlProp" Target="../ctrlProps/ctrlProp111.x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9.xml"/><Relationship Id="rId29" Type="http://schemas.openxmlformats.org/officeDocument/2006/relationships/ctrlProp" Target="../ctrlProps/ctrlProp72.xml"/><Relationship Id="rId11" Type="http://schemas.openxmlformats.org/officeDocument/2006/relationships/image" Target="../media/image9.emf"/><Relationship Id="rId24" Type="http://schemas.openxmlformats.org/officeDocument/2006/relationships/ctrlProp" Target="../ctrlProps/ctrlProp67.xml"/><Relationship Id="rId32" Type="http://schemas.openxmlformats.org/officeDocument/2006/relationships/ctrlProp" Target="../ctrlProps/ctrlProp75.xml"/><Relationship Id="rId37" Type="http://schemas.openxmlformats.org/officeDocument/2006/relationships/ctrlProp" Target="../ctrlProps/ctrlProp80.xml"/><Relationship Id="rId40" Type="http://schemas.openxmlformats.org/officeDocument/2006/relationships/ctrlProp" Target="../ctrlProps/ctrlProp83.xml"/><Relationship Id="rId45" Type="http://schemas.openxmlformats.org/officeDocument/2006/relationships/ctrlProp" Target="../ctrlProps/ctrlProp88.xml"/><Relationship Id="rId53" Type="http://schemas.openxmlformats.org/officeDocument/2006/relationships/ctrlProp" Target="../ctrlProps/ctrlProp96.xml"/><Relationship Id="rId58" Type="http://schemas.openxmlformats.org/officeDocument/2006/relationships/ctrlProp" Target="../ctrlProps/ctrlProp101.xml"/><Relationship Id="rId66" Type="http://schemas.openxmlformats.org/officeDocument/2006/relationships/ctrlProp" Target="../ctrlProps/ctrlProp109.xml"/><Relationship Id="rId5" Type="http://schemas.openxmlformats.org/officeDocument/2006/relationships/image" Target="../media/image6.emf"/><Relationship Id="rId61" Type="http://schemas.openxmlformats.org/officeDocument/2006/relationships/ctrlProp" Target="../ctrlProps/ctrlProp104.xml"/><Relationship Id="rId19" Type="http://schemas.openxmlformats.org/officeDocument/2006/relationships/ctrlProp" Target="../ctrlProps/ctrlProp62.xml"/><Relationship Id="rId14" Type="http://schemas.openxmlformats.org/officeDocument/2006/relationships/ctrlProp" Target="../ctrlProps/ctrlProp57.xml"/><Relationship Id="rId22" Type="http://schemas.openxmlformats.org/officeDocument/2006/relationships/ctrlProp" Target="../ctrlProps/ctrlProp65.xml"/><Relationship Id="rId27" Type="http://schemas.openxmlformats.org/officeDocument/2006/relationships/ctrlProp" Target="../ctrlProps/ctrlProp70.xml"/><Relationship Id="rId30" Type="http://schemas.openxmlformats.org/officeDocument/2006/relationships/ctrlProp" Target="../ctrlProps/ctrlProp73.xml"/><Relationship Id="rId35" Type="http://schemas.openxmlformats.org/officeDocument/2006/relationships/ctrlProp" Target="../ctrlProps/ctrlProp78.xml"/><Relationship Id="rId43" Type="http://schemas.openxmlformats.org/officeDocument/2006/relationships/ctrlProp" Target="../ctrlProps/ctrlProp86.xml"/><Relationship Id="rId48" Type="http://schemas.openxmlformats.org/officeDocument/2006/relationships/ctrlProp" Target="../ctrlProps/ctrlProp91.xml"/><Relationship Id="rId56" Type="http://schemas.openxmlformats.org/officeDocument/2006/relationships/ctrlProp" Target="../ctrlProps/ctrlProp99.xml"/><Relationship Id="rId64" Type="http://schemas.openxmlformats.org/officeDocument/2006/relationships/ctrlProp" Target="../ctrlProps/ctrlProp107.xml"/><Relationship Id="rId69" Type="http://schemas.openxmlformats.org/officeDocument/2006/relationships/ctrlProp" Target="../ctrlProps/ctrlProp112.xml"/><Relationship Id="rId8" Type="http://schemas.openxmlformats.org/officeDocument/2006/relationships/control" Target="../activeX/activeX8.xml"/><Relationship Id="rId51" Type="http://schemas.openxmlformats.org/officeDocument/2006/relationships/ctrlProp" Target="../ctrlProps/ctrlProp94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10.xml"/><Relationship Id="rId17" Type="http://schemas.openxmlformats.org/officeDocument/2006/relationships/ctrlProp" Target="../ctrlProps/ctrlProp60.xml"/><Relationship Id="rId25" Type="http://schemas.openxmlformats.org/officeDocument/2006/relationships/ctrlProp" Target="../ctrlProps/ctrlProp68.xml"/><Relationship Id="rId33" Type="http://schemas.openxmlformats.org/officeDocument/2006/relationships/ctrlProp" Target="../ctrlProps/ctrlProp76.xml"/><Relationship Id="rId38" Type="http://schemas.openxmlformats.org/officeDocument/2006/relationships/ctrlProp" Target="../ctrlProps/ctrlProp81.xml"/><Relationship Id="rId46" Type="http://schemas.openxmlformats.org/officeDocument/2006/relationships/ctrlProp" Target="../ctrlProps/ctrlProp89.xml"/><Relationship Id="rId59" Type="http://schemas.openxmlformats.org/officeDocument/2006/relationships/ctrlProp" Target="../ctrlProps/ctrlProp102.xml"/><Relationship Id="rId67" Type="http://schemas.openxmlformats.org/officeDocument/2006/relationships/ctrlProp" Target="../ctrlProps/ctrlProp110.xml"/><Relationship Id="rId20" Type="http://schemas.openxmlformats.org/officeDocument/2006/relationships/ctrlProp" Target="../ctrlProps/ctrlProp63.xml"/><Relationship Id="rId41" Type="http://schemas.openxmlformats.org/officeDocument/2006/relationships/ctrlProp" Target="../ctrlProps/ctrlProp84.xml"/><Relationship Id="rId54" Type="http://schemas.openxmlformats.org/officeDocument/2006/relationships/ctrlProp" Target="../ctrlProps/ctrlProp97.xml"/><Relationship Id="rId62" Type="http://schemas.openxmlformats.org/officeDocument/2006/relationships/ctrlProp" Target="../ctrlProps/ctrlProp10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5" Type="http://schemas.openxmlformats.org/officeDocument/2006/relationships/ctrlProp" Target="../ctrlProps/ctrlProp58.xml"/><Relationship Id="rId23" Type="http://schemas.openxmlformats.org/officeDocument/2006/relationships/ctrlProp" Target="../ctrlProps/ctrlProp66.xml"/><Relationship Id="rId28" Type="http://schemas.openxmlformats.org/officeDocument/2006/relationships/ctrlProp" Target="../ctrlProps/ctrlProp71.xml"/><Relationship Id="rId36" Type="http://schemas.openxmlformats.org/officeDocument/2006/relationships/ctrlProp" Target="../ctrlProps/ctrlProp79.xml"/><Relationship Id="rId49" Type="http://schemas.openxmlformats.org/officeDocument/2006/relationships/ctrlProp" Target="../ctrlProps/ctrlProp92.xml"/><Relationship Id="rId57" Type="http://schemas.openxmlformats.org/officeDocument/2006/relationships/ctrlProp" Target="../ctrlProps/ctrlProp100.xml"/><Relationship Id="rId10" Type="http://schemas.openxmlformats.org/officeDocument/2006/relationships/control" Target="../activeX/activeX9.xml"/><Relationship Id="rId31" Type="http://schemas.openxmlformats.org/officeDocument/2006/relationships/ctrlProp" Target="../ctrlProps/ctrlProp74.xml"/><Relationship Id="rId44" Type="http://schemas.openxmlformats.org/officeDocument/2006/relationships/ctrlProp" Target="../ctrlProps/ctrlProp87.xml"/><Relationship Id="rId52" Type="http://schemas.openxmlformats.org/officeDocument/2006/relationships/ctrlProp" Target="../ctrlProps/ctrlProp95.xml"/><Relationship Id="rId60" Type="http://schemas.openxmlformats.org/officeDocument/2006/relationships/ctrlProp" Target="../ctrlProps/ctrlProp103.xml"/><Relationship Id="rId65" Type="http://schemas.openxmlformats.org/officeDocument/2006/relationships/ctrlProp" Target="../ctrlProps/ctrlProp108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3" Type="http://schemas.openxmlformats.org/officeDocument/2006/relationships/image" Target="../media/image10.emf"/><Relationship Id="rId18" Type="http://schemas.openxmlformats.org/officeDocument/2006/relationships/ctrlProp" Target="../ctrlProps/ctrlProp61.xml"/><Relationship Id="rId39" Type="http://schemas.openxmlformats.org/officeDocument/2006/relationships/ctrlProp" Target="../ctrlProps/ctrlProp82.xml"/><Relationship Id="rId34" Type="http://schemas.openxmlformats.org/officeDocument/2006/relationships/ctrlProp" Target="../ctrlProps/ctrlProp77.xml"/><Relationship Id="rId50" Type="http://schemas.openxmlformats.org/officeDocument/2006/relationships/ctrlProp" Target="../ctrlProps/ctrlProp93.xml"/><Relationship Id="rId55" Type="http://schemas.openxmlformats.org/officeDocument/2006/relationships/ctrlProp" Target="../ctrlProps/ctrlProp98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25.xml"/><Relationship Id="rId21" Type="http://schemas.openxmlformats.org/officeDocument/2006/relationships/ctrlProp" Target="../ctrlProps/ctrlProp120.xml"/><Relationship Id="rId42" Type="http://schemas.openxmlformats.org/officeDocument/2006/relationships/ctrlProp" Target="../ctrlProps/ctrlProp141.xml"/><Relationship Id="rId47" Type="http://schemas.openxmlformats.org/officeDocument/2006/relationships/ctrlProp" Target="../ctrlProps/ctrlProp146.xml"/><Relationship Id="rId63" Type="http://schemas.openxmlformats.org/officeDocument/2006/relationships/ctrlProp" Target="../ctrlProps/ctrlProp162.xml"/><Relationship Id="rId68" Type="http://schemas.openxmlformats.org/officeDocument/2006/relationships/ctrlProp" Target="../ctrlProps/ctrlProp167.xml"/><Relationship Id="rId7" Type="http://schemas.openxmlformats.org/officeDocument/2006/relationships/image" Target="../media/image12.emf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15.xml"/><Relationship Id="rId29" Type="http://schemas.openxmlformats.org/officeDocument/2006/relationships/ctrlProp" Target="../ctrlProps/ctrlProp128.xml"/><Relationship Id="rId11" Type="http://schemas.openxmlformats.org/officeDocument/2006/relationships/image" Target="../media/image14.emf"/><Relationship Id="rId24" Type="http://schemas.openxmlformats.org/officeDocument/2006/relationships/ctrlProp" Target="../ctrlProps/ctrlProp123.xml"/><Relationship Id="rId32" Type="http://schemas.openxmlformats.org/officeDocument/2006/relationships/ctrlProp" Target="../ctrlProps/ctrlProp131.xml"/><Relationship Id="rId37" Type="http://schemas.openxmlformats.org/officeDocument/2006/relationships/ctrlProp" Target="../ctrlProps/ctrlProp136.xml"/><Relationship Id="rId40" Type="http://schemas.openxmlformats.org/officeDocument/2006/relationships/ctrlProp" Target="../ctrlProps/ctrlProp139.xml"/><Relationship Id="rId45" Type="http://schemas.openxmlformats.org/officeDocument/2006/relationships/ctrlProp" Target="../ctrlProps/ctrlProp144.xml"/><Relationship Id="rId53" Type="http://schemas.openxmlformats.org/officeDocument/2006/relationships/ctrlProp" Target="../ctrlProps/ctrlProp152.xml"/><Relationship Id="rId58" Type="http://schemas.openxmlformats.org/officeDocument/2006/relationships/ctrlProp" Target="../ctrlProps/ctrlProp157.xml"/><Relationship Id="rId66" Type="http://schemas.openxmlformats.org/officeDocument/2006/relationships/ctrlProp" Target="../ctrlProps/ctrlProp165.xml"/><Relationship Id="rId5" Type="http://schemas.openxmlformats.org/officeDocument/2006/relationships/image" Target="../media/image11.emf"/><Relationship Id="rId61" Type="http://schemas.openxmlformats.org/officeDocument/2006/relationships/ctrlProp" Target="../ctrlProps/ctrlProp160.xml"/><Relationship Id="rId19" Type="http://schemas.openxmlformats.org/officeDocument/2006/relationships/ctrlProp" Target="../ctrlProps/ctrlProp118.xml"/><Relationship Id="rId14" Type="http://schemas.openxmlformats.org/officeDocument/2006/relationships/ctrlProp" Target="../ctrlProps/ctrlProp113.xml"/><Relationship Id="rId22" Type="http://schemas.openxmlformats.org/officeDocument/2006/relationships/ctrlProp" Target="../ctrlProps/ctrlProp121.xml"/><Relationship Id="rId27" Type="http://schemas.openxmlformats.org/officeDocument/2006/relationships/ctrlProp" Target="../ctrlProps/ctrlProp126.xml"/><Relationship Id="rId30" Type="http://schemas.openxmlformats.org/officeDocument/2006/relationships/ctrlProp" Target="../ctrlProps/ctrlProp129.xml"/><Relationship Id="rId35" Type="http://schemas.openxmlformats.org/officeDocument/2006/relationships/ctrlProp" Target="../ctrlProps/ctrlProp134.xml"/><Relationship Id="rId43" Type="http://schemas.openxmlformats.org/officeDocument/2006/relationships/ctrlProp" Target="../ctrlProps/ctrlProp142.xml"/><Relationship Id="rId48" Type="http://schemas.openxmlformats.org/officeDocument/2006/relationships/ctrlProp" Target="../ctrlProps/ctrlProp147.xml"/><Relationship Id="rId56" Type="http://schemas.openxmlformats.org/officeDocument/2006/relationships/ctrlProp" Target="../ctrlProps/ctrlProp155.xml"/><Relationship Id="rId64" Type="http://schemas.openxmlformats.org/officeDocument/2006/relationships/ctrlProp" Target="../ctrlProps/ctrlProp163.xml"/><Relationship Id="rId69" Type="http://schemas.openxmlformats.org/officeDocument/2006/relationships/ctrlProp" Target="../ctrlProps/ctrlProp168.xml"/><Relationship Id="rId8" Type="http://schemas.openxmlformats.org/officeDocument/2006/relationships/control" Target="../activeX/activeX13.xml"/><Relationship Id="rId51" Type="http://schemas.openxmlformats.org/officeDocument/2006/relationships/ctrlProp" Target="../ctrlProps/ctrlProp150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15.xml"/><Relationship Id="rId17" Type="http://schemas.openxmlformats.org/officeDocument/2006/relationships/ctrlProp" Target="../ctrlProps/ctrlProp116.xml"/><Relationship Id="rId25" Type="http://schemas.openxmlformats.org/officeDocument/2006/relationships/ctrlProp" Target="../ctrlProps/ctrlProp124.xml"/><Relationship Id="rId33" Type="http://schemas.openxmlformats.org/officeDocument/2006/relationships/ctrlProp" Target="../ctrlProps/ctrlProp132.xml"/><Relationship Id="rId38" Type="http://schemas.openxmlformats.org/officeDocument/2006/relationships/ctrlProp" Target="../ctrlProps/ctrlProp137.xml"/><Relationship Id="rId46" Type="http://schemas.openxmlformats.org/officeDocument/2006/relationships/ctrlProp" Target="../ctrlProps/ctrlProp145.xml"/><Relationship Id="rId59" Type="http://schemas.openxmlformats.org/officeDocument/2006/relationships/ctrlProp" Target="../ctrlProps/ctrlProp158.xml"/><Relationship Id="rId67" Type="http://schemas.openxmlformats.org/officeDocument/2006/relationships/ctrlProp" Target="../ctrlProps/ctrlProp166.xml"/><Relationship Id="rId20" Type="http://schemas.openxmlformats.org/officeDocument/2006/relationships/ctrlProp" Target="../ctrlProps/ctrlProp119.xml"/><Relationship Id="rId41" Type="http://schemas.openxmlformats.org/officeDocument/2006/relationships/ctrlProp" Target="../ctrlProps/ctrlProp140.xml"/><Relationship Id="rId54" Type="http://schemas.openxmlformats.org/officeDocument/2006/relationships/ctrlProp" Target="../ctrlProps/ctrlProp153.xml"/><Relationship Id="rId62" Type="http://schemas.openxmlformats.org/officeDocument/2006/relationships/ctrlProp" Target="../ctrlProps/ctrlProp16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5" Type="http://schemas.openxmlformats.org/officeDocument/2006/relationships/ctrlProp" Target="../ctrlProps/ctrlProp114.xml"/><Relationship Id="rId23" Type="http://schemas.openxmlformats.org/officeDocument/2006/relationships/ctrlProp" Target="../ctrlProps/ctrlProp122.xml"/><Relationship Id="rId28" Type="http://schemas.openxmlformats.org/officeDocument/2006/relationships/ctrlProp" Target="../ctrlProps/ctrlProp127.xml"/><Relationship Id="rId36" Type="http://schemas.openxmlformats.org/officeDocument/2006/relationships/ctrlProp" Target="../ctrlProps/ctrlProp135.xml"/><Relationship Id="rId49" Type="http://schemas.openxmlformats.org/officeDocument/2006/relationships/ctrlProp" Target="../ctrlProps/ctrlProp148.xml"/><Relationship Id="rId57" Type="http://schemas.openxmlformats.org/officeDocument/2006/relationships/ctrlProp" Target="../ctrlProps/ctrlProp156.xml"/><Relationship Id="rId10" Type="http://schemas.openxmlformats.org/officeDocument/2006/relationships/control" Target="../activeX/activeX14.xml"/><Relationship Id="rId31" Type="http://schemas.openxmlformats.org/officeDocument/2006/relationships/ctrlProp" Target="../ctrlProps/ctrlProp130.xml"/><Relationship Id="rId44" Type="http://schemas.openxmlformats.org/officeDocument/2006/relationships/ctrlProp" Target="../ctrlProps/ctrlProp143.xml"/><Relationship Id="rId52" Type="http://schemas.openxmlformats.org/officeDocument/2006/relationships/ctrlProp" Target="../ctrlProps/ctrlProp151.xml"/><Relationship Id="rId60" Type="http://schemas.openxmlformats.org/officeDocument/2006/relationships/ctrlProp" Target="../ctrlProps/ctrlProp159.xml"/><Relationship Id="rId65" Type="http://schemas.openxmlformats.org/officeDocument/2006/relationships/ctrlProp" Target="../ctrlProps/ctrlProp16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3" Type="http://schemas.openxmlformats.org/officeDocument/2006/relationships/image" Target="../media/image15.emf"/><Relationship Id="rId18" Type="http://schemas.openxmlformats.org/officeDocument/2006/relationships/ctrlProp" Target="../ctrlProps/ctrlProp117.xml"/><Relationship Id="rId39" Type="http://schemas.openxmlformats.org/officeDocument/2006/relationships/ctrlProp" Target="../ctrlProps/ctrlProp138.xml"/><Relationship Id="rId34" Type="http://schemas.openxmlformats.org/officeDocument/2006/relationships/ctrlProp" Target="../ctrlProps/ctrlProp133.xml"/><Relationship Id="rId50" Type="http://schemas.openxmlformats.org/officeDocument/2006/relationships/ctrlProp" Target="../ctrlProps/ctrlProp149.xml"/><Relationship Id="rId55" Type="http://schemas.openxmlformats.org/officeDocument/2006/relationships/ctrlProp" Target="../ctrlProps/ctrlProp154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81.xml"/><Relationship Id="rId21" Type="http://schemas.openxmlformats.org/officeDocument/2006/relationships/ctrlProp" Target="../ctrlProps/ctrlProp176.xml"/><Relationship Id="rId42" Type="http://schemas.openxmlformats.org/officeDocument/2006/relationships/ctrlProp" Target="../ctrlProps/ctrlProp197.xml"/><Relationship Id="rId47" Type="http://schemas.openxmlformats.org/officeDocument/2006/relationships/ctrlProp" Target="../ctrlProps/ctrlProp202.xml"/><Relationship Id="rId63" Type="http://schemas.openxmlformats.org/officeDocument/2006/relationships/ctrlProp" Target="../ctrlProps/ctrlProp218.xml"/><Relationship Id="rId68" Type="http://schemas.openxmlformats.org/officeDocument/2006/relationships/ctrlProp" Target="../ctrlProps/ctrlProp223.xml"/><Relationship Id="rId7" Type="http://schemas.openxmlformats.org/officeDocument/2006/relationships/image" Target="../media/image17.emf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71.xml"/><Relationship Id="rId29" Type="http://schemas.openxmlformats.org/officeDocument/2006/relationships/ctrlProp" Target="../ctrlProps/ctrlProp184.xml"/><Relationship Id="rId11" Type="http://schemas.openxmlformats.org/officeDocument/2006/relationships/image" Target="../media/image19.emf"/><Relationship Id="rId24" Type="http://schemas.openxmlformats.org/officeDocument/2006/relationships/ctrlProp" Target="../ctrlProps/ctrlProp179.xml"/><Relationship Id="rId32" Type="http://schemas.openxmlformats.org/officeDocument/2006/relationships/ctrlProp" Target="../ctrlProps/ctrlProp187.xml"/><Relationship Id="rId37" Type="http://schemas.openxmlformats.org/officeDocument/2006/relationships/ctrlProp" Target="../ctrlProps/ctrlProp192.xml"/><Relationship Id="rId40" Type="http://schemas.openxmlformats.org/officeDocument/2006/relationships/ctrlProp" Target="../ctrlProps/ctrlProp195.xml"/><Relationship Id="rId45" Type="http://schemas.openxmlformats.org/officeDocument/2006/relationships/ctrlProp" Target="../ctrlProps/ctrlProp200.xml"/><Relationship Id="rId53" Type="http://schemas.openxmlformats.org/officeDocument/2006/relationships/ctrlProp" Target="../ctrlProps/ctrlProp208.xml"/><Relationship Id="rId58" Type="http://schemas.openxmlformats.org/officeDocument/2006/relationships/ctrlProp" Target="../ctrlProps/ctrlProp213.xml"/><Relationship Id="rId66" Type="http://schemas.openxmlformats.org/officeDocument/2006/relationships/ctrlProp" Target="../ctrlProps/ctrlProp221.xml"/><Relationship Id="rId5" Type="http://schemas.openxmlformats.org/officeDocument/2006/relationships/image" Target="../media/image16.emf"/><Relationship Id="rId61" Type="http://schemas.openxmlformats.org/officeDocument/2006/relationships/ctrlProp" Target="../ctrlProps/ctrlProp216.xml"/><Relationship Id="rId19" Type="http://schemas.openxmlformats.org/officeDocument/2006/relationships/ctrlProp" Target="../ctrlProps/ctrlProp174.xml"/><Relationship Id="rId14" Type="http://schemas.openxmlformats.org/officeDocument/2006/relationships/ctrlProp" Target="../ctrlProps/ctrlProp169.xml"/><Relationship Id="rId22" Type="http://schemas.openxmlformats.org/officeDocument/2006/relationships/ctrlProp" Target="../ctrlProps/ctrlProp177.xml"/><Relationship Id="rId27" Type="http://schemas.openxmlformats.org/officeDocument/2006/relationships/ctrlProp" Target="../ctrlProps/ctrlProp182.xml"/><Relationship Id="rId30" Type="http://schemas.openxmlformats.org/officeDocument/2006/relationships/ctrlProp" Target="../ctrlProps/ctrlProp185.xml"/><Relationship Id="rId35" Type="http://schemas.openxmlformats.org/officeDocument/2006/relationships/ctrlProp" Target="../ctrlProps/ctrlProp190.xml"/><Relationship Id="rId43" Type="http://schemas.openxmlformats.org/officeDocument/2006/relationships/ctrlProp" Target="../ctrlProps/ctrlProp198.xml"/><Relationship Id="rId48" Type="http://schemas.openxmlformats.org/officeDocument/2006/relationships/ctrlProp" Target="../ctrlProps/ctrlProp203.xml"/><Relationship Id="rId56" Type="http://schemas.openxmlformats.org/officeDocument/2006/relationships/ctrlProp" Target="../ctrlProps/ctrlProp211.xml"/><Relationship Id="rId64" Type="http://schemas.openxmlformats.org/officeDocument/2006/relationships/ctrlProp" Target="../ctrlProps/ctrlProp219.xml"/><Relationship Id="rId69" Type="http://schemas.openxmlformats.org/officeDocument/2006/relationships/ctrlProp" Target="../ctrlProps/ctrlProp224.xml"/><Relationship Id="rId8" Type="http://schemas.openxmlformats.org/officeDocument/2006/relationships/control" Target="../activeX/activeX18.xml"/><Relationship Id="rId51" Type="http://schemas.openxmlformats.org/officeDocument/2006/relationships/ctrlProp" Target="../ctrlProps/ctrlProp206.xml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20.xml"/><Relationship Id="rId17" Type="http://schemas.openxmlformats.org/officeDocument/2006/relationships/ctrlProp" Target="../ctrlProps/ctrlProp172.xml"/><Relationship Id="rId25" Type="http://schemas.openxmlformats.org/officeDocument/2006/relationships/ctrlProp" Target="../ctrlProps/ctrlProp180.xml"/><Relationship Id="rId33" Type="http://schemas.openxmlformats.org/officeDocument/2006/relationships/ctrlProp" Target="../ctrlProps/ctrlProp188.xml"/><Relationship Id="rId38" Type="http://schemas.openxmlformats.org/officeDocument/2006/relationships/ctrlProp" Target="../ctrlProps/ctrlProp193.xml"/><Relationship Id="rId46" Type="http://schemas.openxmlformats.org/officeDocument/2006/relationships/ctrlProp" Target="../ctrlProps/ctrlProp201.xml"/><Relationship Id="rId59" Type="http://schemas.openxmlformats.org/officeDocument/2006/relationships/ctrlProp" Target="../ctrlProps/ctrlProp214.xml"/><Relationship Id="rId67" Type="http://schemas.openxmlformats.org/officeDocument/2006/relationships/ctrlProp" Target="../ctrlProps/ctrlProp222.xml"/><Relationship Id="rId20" Type="http://schemas.openxmlformats.org/officeDocument/2006/relationships/ctrlProp" Target="../ctrlProps/ctrlProp175.xml"/><Relationship Id="rId41" Type="http://schemas.openxmlformats.org/officeDocument/2006/relationships/ctrlProp" Target="../ctrlProps/ctrlProp196.xml"/><Relationship Id="rId54" Type="http://schemas.openxmlformats.org/officeDocument/2006/relationships/ctrlProp" Target="../ctrlProps/ctrlProp209.xml"/><Relationship Id="rId62" Type="http://schemas.openxmlformats.org/officeDocument/2006/relationships/ctrlProp" Target="../ctrlProps/ctrlProp21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15" Type="http://schemas.openxmlformats.org/officeDocument/2006/relationships/ctrlProp" Target="../ctrlProps/ctrlProp170.xml"/><Relationship Id="rId23" Type="http://schemas.openxmlformats.org/officeDocument/2006/relationships/ctrlProp" Target="../ctrlProps/ctrlProp178.xml"/><Relationship Id="rId28" Type="http://schemas.openxmlformats.org/officeDocument/2006/relationships/ctrlProp" Target="../ctrlProps/ctrlProp183.xml"/><Relationship Id="rId36" Type="http://schemas.openxmlformats.org/officeDocument/2006/relationships/ctrlProp" Target="../ctrlProps/ctrlProp191.xml"/><Relationship Id="rId49" Type="http://schemas.openxmlformats.org/officeDocument/2006/relationships/ctrlProp" Target="../ctrlProps/ctrlProp204.xml"/><Relationship Id="rId57" Type="http://schemas.openxmlformats.org/officeDocument/2006/relationships/ctrlProp" Target="../ctrlProps/ctrlProp212.xml"/><Relationship Id="rId10" Type="http://schemas.openxmlformats.org/officeDocument/2006/relationships/control" Target="../activeX/activeX19.xml"/><Relationship Id="rId31" Type="http://schemas.openxmlformats.org/officeDocument/2006/relationships/ctrlProp" Target="../ctrlProps/ctrlProp186.xml"/><Relationship Id="rId44" Type="http://schemas.openxmlformats.org/officeDocument/2006/relationships/ctrlProp" Target="../ctrlProps/ctrlProp199.xml"/><Relationship Id="rId52" Type="http://schemas.openxmlformats.org/officeDocument/2006/relationships/ctrlProp" Target="../ctrlProps/ctrlProp207.xml"/><Relationship Id="rId60" Type="http://schemas.openxmlformats.org/officeDocument/2006/relationships/ctrlProp" Target="../ctrlProps/ctrlProp215.xml"/><Relationship Id="rId65" Type="http://schemas.openxmlformats.org/officeDocument/2006/relationships/ctrlProp" Target="../ctrlProps/ctrlProp220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3" Type="http://schemas.openxmlformats.org/officeDocument/2006/relationships/image" Target="../media/image20.emf"/><Relationship Id="rId18" Type="http://schemas.openxmlformats.org/officeDocument/2006/relationships/ctrlProp" Target="../ctrlProps/ctrlProp173.xml"/><Relationship Id="rId39" Type="http://schemas.openxmlformats.org/officeDocument/2006/relationships/ctrlProp" Target="../ctrlProps/ctrlProp194.xml"/><Relationship Id="rId34" Type="http://schemas.openxmlformats.org/officeDocument/2006/relationships/ctrlProp" Target="../ctrlProps/ctrlProp189.xml"/><Relationship Id="rId50" Type="http://schemas.openxmlformats.org/officeDocument/2006/relationships/ctrlProp" Target="../ctrlProps/ctrlProp205.xml"/><Relationship Id="rId55" Type="http://schemas.openxmlformats.org/officeDocument/2006/relationships/ctrlProp" Target="../ctrlProps/ctrlProp210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7.xml"/><Relationship Id="rId21" Type="http://schemas.openxmlformats.org/officeDocument/2006/relationships/ctrlProp" Target="../ctrlProps/ctrlProp232.xml"/><Relationship Id="rId42" Type="http://schemas.openxmlformats.org/officeDocument/2006/relationships/ctrlProp" Target="../ctrlProps/ctrlProp253.xml"/><Relationship Id="rId47" Type="http://schemas.openxmlformats.org/officeDocument/2006/relationships/ctrlProp" Target="../ctrlProps/ctrlProp258.xml"/><Relationship Id="rId63" Type="http://schemas.openxmlformats.org/officeDocument/2006/relationships/ctrlProp" Target="../ctrlProps/ctrlProp274.xml"/><Relationship Id="rId68" Type="http://schemas.openxmlformats.org/officeDocument/2006/relationships/ctrlProp" Target="../ctrlProps/ctrlProp279.xml"/><Relationship Id="rId7" Type="http://schemas.openxmlformats.org/officeDocument/2006/relationships/image" Target="../media/image22.emf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227.xml"/><Relationship Id="rId29" Type="http://schemas.openxmlformats.org/officeDocument/2006/relationships/ctrlProp" Target="../ctrlProps/ctrlProp240.xml"/><Relationship Id="rId11" Type="http://schemas.openxmlformats.org/officeDocument/2006/relationships/image" Target="../media/image24.emf"/><Relationship Id="rId24" Type="http://schemas.openxmlformats.org/officeDocument/2006/relationships/ctrlProp" Target="../ctrlProps/ctrlProp235.xml"/><Relationship Id="rId32" Type="http://schemas.openxmlformats.org/officeDocument/2006/relationships/ctrlProp" Target="../ctrlProps/ctrlProp243.xml"/><Relationship Id="rId37" Type="http://schemas.openxmlformats.org/officeDocument/2006/relationships/ctrlProp" Target="../ctrlProps/ctrlProp248.xml"/><Relationship Id="rId40" Type="http://schemas.openxmlformats.org/officeDocument/2006/relationships/ctrlProp" Target="../ctrlProps/ctrlProp251.xml"/><Relationship Id="rId45" Type="http://schemas.openxmlformats.org/officeDocument/2006/relationships/ctrlProp" Target="../ctrlProps/ctrlProp256.xml"/><Relationship Id="rId53" Type="http://schemas.openxmlformats.org/officeDocument/2006/relationships/ctrlProp" Target="../ctrlProps/ctrlProp264.xml"/><Relationship Id="rId58" Type="http://schemas.openxmlformats.org/officeDocument/2006/relationships/ctrlProp" Target="../ctrlProps/ctrlProp269.xml"/><Relationship Id="rId66" Type="http://schemas.openxmlformats.org/officeDocument/2006/relationships/ctrlProp" Target="../ctrlProps/ctrlProp277.xml"/><Relationship Id="rId5" Type="http://schemas.openxmlformats.org/officeDocument/2006/relationships/image" Target="../media/image21.emf"/><Relationship Id="rId61" Type="http://schemas.openxmlformats.org/officeDocument/2006/relationships/ctrlProp" Target="../ctrlProps/ctrlProp272.xml"/><Relationship Id="rId19" Type="http://schemas.openxmlformats.org/officeDocument/2006/relationships/ctrlProp" Target="../ctrlProps/ctrlProp230.xml"/><Relationship Id="rId14" Type="http://schemas.openxmlformats.org/officeDocument/2006/relationships/ctrlProp" Target="../ctrlProps/ctrlProp225.xml"/><Relationship Id="rId22" Type="http://schemas.openxmlformats.org/officeDocument/2006/relationships/ctrlProp" Target="../ctrlProps/ctrlProp233.xml"/><Relationship Id="rId27" Type="http://schemas.openxmlformats.org/officeDocument/2006/relationships/ctrlProp" Target="../ctrlProps/ctrlProp238.xml"/><Relationship Id="rId30" Type="http://schemas.openxmlformats.org/officeDocument/2006/relationships/ctrlProp" Target="../ctrlProps/ctrlProp241.xml"/><Relationship Id="rId35" Type="http://schemas.openxmlformats.org/officeDocument/2006/relationships/ctrlProp" Target="../ctrlProps/ctrlProp246.xml"/><Relationship Id="rId43" Type="http://schemas.openxmlformats.org/officeDocument/2006/relationships/ctrlProp" Target="../ctrlProps/ctrlProp254.xml"/><Relationship Id="rId48" Type="http://schemas.openxmlformats.org/officeDocument/2006/relationships/ctrlProp" Target="../ctrlProps/ctrlProp259.xml"/><Relationship Id="rId56" Type="http://schemas.openxmlformats.org/officeDocument/2006/relationships/ctrlProp" Target="../ctrlProps/ctrlProp267.xml"/><Relationship Id="rId64" Type="http://schemas.openxmlformats.org/officeDocument/2006/relationships/ctrlProp" Target="../ctrlProps/ctrlProp275.xml"/><Relationship Id="rId69" Type="http://schemas.openxmlformats.org/officeDocument/2006/relationships/ctrlProp" Target="../ctrlProps/ctrlProp280.xml"/><Relationship Id="rId8" Type="http://schemas.openxmlformats.org/officeDocument/2006/relationships/control" Target="../activeX/activeX23.xml"/><Relationship Id="rId51" Type="http://schemas.openxmlformats.org/officeDocument/2006/relationships/ctrlProp" Target="../ctrlProps/ctrlProp262.xml"/><Relationship Id="rId3" Type="http://schemas.openxmlformats.org/officeDocument/2006/relationships/vmlDrawing" Target="../drawings/vmlDrawing5.vml"/><Relationship Id="rId12" Type="http://schemas.openxmlformats.org/officeDocument/2006/relationships/control" Target="../activeX/activeX25.xml"/><Relationship Id="rId17" Type="http://schemas.openxmlformats.org/officeDocument/2006/relationships/ctrlProp" Target="../ctrlProps/ctrlProp228.xml"/><Relationship Id="rId25" Type="http://schemas.openxmlformats.org/officeDocument/2006/relationships/ctrlProp" Target="../ctrlProps/ctrlProp236.xml"/><Relationship Id="rId33" Type="http://schemas.openxmlformats.org/officeDocument/2006/relationships/ctrlProp" Target="../ctrlProps/ctrlProp244.xml"/><Relationship Id="rId38" Type="http://schemas.openxmlformats.org/officeDocument/2006/relationships/ctrlProp" Target="../ctrlProps/ctrlProp249.xml"/><Relationship Id="rId46" Type="http://schemas.openxmlformats.org/officeDocument/2006/relationships/ctrlProp" Target="../ctrlProps/ctrlProp257.xml"/><Relationship Id="rId59" Type="http://schemas.openxmlformats.org/officeDocument/2006/relationships/ctrlProp" Target="../ctrlProps/ctrlProp270.xml"/><Relationship Id="rId67" Type="http://schemas.openxmlformats.org/officeDocument/2006/relationships/ctrlProp" Target="../ctrlProps/ctrlProp278.xml"/><Relationship Id="rId20" Type="http://schemas.openxmlformats.org/officeDocument/2006/relationships/ctrlProp" Target="../ctrlProps/ctrlProp231.xml"/><Relationship Id="rId41" Type="http://schemas.openxmlformats.org/officeDocument/2006/relationships/ctrlProp" Target="../ctrlProps/ctrlProp252.xml"/><Relationship Id="rId54" Type="http://schemas.openxmlformats.org/officeDocument/2006/relationships/ctrlProp" Target="../ctrlProps/ctrlProp265.xml"/><Relationship Id="rId62" Type="http://schemas.openxmlformats.org/officeDocument/2006/relationships/ctrlProp" Target="../ctrlProps/ctrlProp27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5" Type="http://schemas.openxmlformats.org/officeDocument/2006/relationships/ctrlProp" Target="../ctrlProps/ctrlProp226.xml"/><Relationship Id="rId23" Type="http://schemas.openxmlformats.org/officeDocument/2006/relationships/ctrlProp" Target="../ctrlProps/ctrlProp234.xml"/><Relationship Id="rId28" Type="http://schemas.openxmlformats.org/officeDocument/2006/relationships/ctrlProp" Target="../ctrlProps/ctrlProp239.xml"/><Relationship Id="rId36" Type="http://schemas.openxmlformats.org/officeDocument/2006/relationships/ctrlProp" Target="../ctrlProps/ctrlProp247.xml"/><Relationship Id="rId49" Type="http://schemas.openxmlformats.org/officeDocument/2006/relationships/ctrlProp" Target="../ctrlProps/ctrlProp260.xml"/><Relationship Id="rId57" Type="http://schemas.openxmlformats.org/officeDocument/2006/relationships/ctrlProp" Target="../ctrlProps/ctrlProp268.xml"/><Relationship Id="rId10" Type="http://schemas.openxmlformats.org/officeDocument/2006/relationships/control" Target="../activeX/activeX24.xml"/><Relationship Id="rId31" Type="http://schemas.openxmlformats.org/officeDocument/2006/relationships/ctrlProp" Target="../ctrlProps/ctrlProp242.xml"/><Relationship Id="rId44" Type="http://schemas.openxmlformats.org/officeDocument/2006/relationships/ctrlProp" Target="../ctrlProps/ctrlProp255.xml"/><Relationship Id="rId52" Type="http://schemas.openxmlformats.org/officeDocument/2006/relationships/ctrlProp" Target="../ctrlProps/ctrlProp263.xml"/><Relationship Id="rId60" Type="http://schemas.openxmlformats.org/officeDocument/2006/relationships/ctrlProp" Target="../ctrlProps/ctrlProp271.xml"/><Relationship Id="rId65" Type="http://schemas.openxmlformats.org/officeDocument/2006/relationships/ctrlProp" Target="../ctrlProps/ctrlProp276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3" Type="http://schemas.openxmlformats.org/officeDocument/2006/relationships/image" Target="../media/image25.emf"/><Relationship Id="rId18" Type="http://schemas.openxmlformats.org/officeDocument/2006/relationships/ctrlProp" Target="../ctrlProps/ctrlProp229.xml"/><Relationship Id="rId39" Type="http://schemas.openxmlformats.org/officeDocument/2006/relationships/ctrlProp" Target="../ctrlProps/ctrlProp250.xml"/><Relationship Id="rId34" Type="http://schemas.openxmlformats.org/officeDocument/2006/relationships/ctrlProp" Target="../ctrlProps/ctrlProp245.xml"/><Relationship Id="rId50" Type="http://schemas.openxmlformats.org/officeDocument/2006/relationships/ctrlProp" Target="../ctrlProps/ctrlProp261.xml"/><Relationship Id="rId55" Type="http://schemas.openxmlformats.org/officeDocument/2006/relationships/ctrlProp" Target="../ctrlProps/ctrlProp266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93.xml"/><Relationship Id="rId21" Type="http://schemas.openxmlformats.org/officeDocument/2006/relationships/ctrlProp" Target="../ctrlProps/ctrlProp288.xml"/><Relationship Id="rId42" Type="http://schemas.openxmlformats.org/officeDocument/2006/relationships/ctrlProp" Target="../ctrlProps/ctrlProp309.xml"/><Relationship Id="rId47" Type="http://schemas.openxmlformats.org/officeDocument/2006/relationships/ctrlProp" Target="../ctrlProps/ctrlProp314.xml"/><Relationship Id="rId63" Type="http://schemas.openxmlformats.org/officeDocument/2006/relationships/ctrlProp" Target="../ctrlProps/ctrlProp330.xml"/><Relationship Id="rId68" Type="http://schemas.openxmlformats.org/officeDocument/2006/relationships/ctrlProp" Target="../ctrlProps/ctrlProp335.xml"/><Relationship Id="rId7" Type="http://schemas.openxmlformats.org/officeDocument/2006/relationships/image" Target="../media/image27.emf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283.xml"/><Relationship Id="rId29" Type="http://schemas.openxmlformats.org/officeDocument/2006/relationships/ctrlProp" Target="../ctrlProps/ctrlProp296.xml"/><Relationship Id="rId11" Type="http://schemas.openxmlformats.org/officeDocument/2006/relationships/image" Target="../media/image29.emf"/><Relationship Id="rId24" Type="http://schemas.openxmlformats.org/officeDocument/2006/relationships/ctrlProp" Target="../ctrlProps/ctrlProp291.xml"/><Relationship Id="rId32" Type="http://schemas.openxmlformats.org/officeDocument/2006/relationships/ctrlProp" Target="../ctrlProps/ctrlProp299.xml"/><Relationship Id="rId37" Type="http://schemas.openxmlformats.org/officeDocument/2006/relationships/ctrlProp" Target="../ctrlProps/ctrlProp304.xml"/><Relationship Id="rId40" Type="http://schemas.openxmlformats.org/officeDocument/2006/relationships/ctrlProp" Target="../ctrlProps/ctrlProp307.xml"/><Relationship Id="rId45" Type="http://schemas.openxmlformats.org/officeDocument/2006/relationships/ctrlProp" Target="../ctrlProps/ctrlProp312.xml"/><Relationship Id="rId53" Type="http://schemas.openxmlformats.org/officeDocument/2006/relationships/ctrlProp" Target="../ctrlProps/ctrlProp320.xml"/><Relationship Id="rId58" Type="http://schemas.openxmlformats.org/officeDocument/2006/relationships/ctrlProp" Target="../ctrlProps/ctrlProp325.xml"/><Relationship Id="rId66" Type="http://schemas.openxmlformats.org/officeDocument/2006/relationships/ctrlProp" Target="../ctrlProps/ctrlProp333.xml"/><Relationship Id="rId5" Type="http://schemas.openxmlformats.org/officeDocument/2006/relationships/image" Target="../media/image26.emf"/><Relationship Id="rId61" Type="http://schemas.openxmlformats.org/officeDocument/2006/relationships/ctrlProp" Target="../ctrlProps/ctrlProp328.xml"/><Relationship Id="rId19" Type="http://schemas.openxmlformats.org/officeDocument/2006/relationships/ctrlProp" Target="../ctrlProps/ctrlProp286.xml"/><Relationship Id="rId14" Type="http://schemas.openxmlformats.org/officeDocument/2006/relationships/ctrlProp" Target="../ctrlProps/ctrlProp281.xml"/><Relationship Id="rId22" Type="http://schemas.openxmlformats.org/officeDocument/2006/relationships/ctrlProp" Target="../ctrlProps/ctrlProp289.xml"/><Relationship Id="rId27" Type="http://schemas.openxmlformats.org/officeDocument/2006/relationships/ctrlProp" Target="../ctrlProps/ctrlProp294.xml"/><Relationship Id="rId30" Type="http://schemas.openxmlformats.org/officeDocument/2006/relationships/ctrlProp" Target="../ctrlProps/ctrlProp297.xml"/><Relationship Id="rId35" Type="http://schemas.openxmlformats.org/officeDocument/2006/relationships/ctrlProp" Target="../ctrlProps/ctrlProp302.xml"/><Relationship Id="rId43" Type="http://schemas.openxmlformats.org/officeDocument/2006/relationships/ctrlProp" Target="../ctrlProps/ctrlProp310.xml"/><Relationship Id="rId48" Type="http://schemas.openxmlformats.org/officeDocument/2006/relationships/ctrlProp" Target="../ctrlProps/ctrlProp315.xml"/><Relationship Id="rId56" Type="http://schemas.openxmlformats.org/officeDocument/2006/relationships/ctrlProp" Target="../ctrlProps/ctrlProp323.xml"/><Relationship Id="rId64" Type="http://schemas.openxmlformats.org/officeDocument/2006/relationships/ctrlProp" Target="../ctrlProps/ctrlProp331.xml"/><Relationship Id="rId69" Type="http://schemas.openxmlformats.org/officeDocument/2006/relationships/ctrlProp" Target="../ctrlProps/ctrlProp336.xml"/><Relationship Id="rId8" Type="http://schemas.openxmlformats.org/officeDocument/2006/relationships/control" Target="../activeX/activeX28.xml"/><Relationship Id="rId51" Type="http://schemas.openxmlformats.org/officeDocument/2006/relationships/ctrlProp" Target="../ctrlProps/ctrlProp318.xml"/><Relationship Id="rId3" Type="http://schemas.openxmlformats.org/officeDocument/2006/relationships/vmlDrawing" Target="../drawings/vmlDrawing6.vml"/><Relationship Id="rId12" Type="http://schemas.openxmlformats.org/officeDocument/2006/relationships/control" Target="../activeX/activeX30.xml"/><Relationship Id="rId17" Type="http://schemas.openxmlformats.org/officeDocument/2006/relationships/ctrlProp" Target="../ctrlProps/ctrlProp284.xml"/><Relationship Id="rId25" Type="http://schemas.openxmlformats.org/officeDocument/2006/relationships/ctrlProp" Target="../ctrlProps/ctrlProp292.xml"/><Relationship Id="rId33" Type="http://schemas.openxmlformats.org/officeDocument/2006/relationships/ctrlProp" Target="../ctrlProps/ctrlProp300.xml"/><Relationship Id="rId38" Type="http://schemas.openxmlformats.org/officeDocument/2006/relationships/ctrlProp" Target="../ctrlProps/ctrlProp305.xml"/><Relationship Id="rId46" Type="http://schemas.openxmlformats.org/officeDocument/2006/relationships/ctrlProp" Target="../ctrlProps/ctrlProp313.xml"/><Relationship Id="rId59" Type="http://schemas.openxmlformats.org/officeDocument/2006/relationships/ctrlProp" Target="../ctrlProps/ctrlProp326.xml"/><Relationship Id="rId67" Type="http://schemas.openxmlformats.org/officeDocument/2006/relationships/ctrlProp" Target="../ctrlProps/ctrlProp334.xml"/><Relationship Id="rId20" Type="http://schemas.openxmlformats.org/officeDocument/2006/relationships/ctrlProp" Target="../ctrlProps/ctrlProp287.xml"/><Relationship Id="rId41" Type="http://schemas.openxmlformats.org/officeDocument/2006/relationships/ctrlProp" Target="../ctrlProps/ctrlProp308.xml"/><Relationship Id="rId54" Type="http://schemas.openxmlformats.org/officeDocument/2006/relationships/ctrlProp" Target="../ctrlProps/ctrlProp321.xml"/><Relationship Id="rId62" Type="http://schemas.openxmlformats.org/officeDocument/2006/relationships/ctrlProp" Target="../ctrlProps/ctrlProp329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7.xml"/><Relationship Id="rId15" Type="http://schemas.openxmlformats.org/officeDocument/2006/relationships/ctrlProp" Target="../ctrlProps/ctrlProp282.xml"/><Relationship Id="rId23" Type="http://schemas.openxmlformats.org/officeDocument/2006/relationships/ctrlProp" Target="../ctrlProps/ctrlProp290.xml"/><Relationship Id="rId28" Type="http://schemas.openxmlformats.org/officeDocument/2006/relationships/ctrlProp" Target="../ctrlProps/ctrlProp295.xml"/><Relationship Id="rId36" Type="http://schemas.openxmlformats.org/officeDocument/2006/relationships/ctrlProp" Target="../ctrlProps/ctrlProp303.xml"/><Relationship Id="rId49" Type="http://schemas.openxmlformats.org/officeDocument/2006/relationships/ctrlProp" Target="../ctrlProps/ctrlProp316.xml"/><Relationship Id="rId57" Type="http://schemas.openxmlformats.org/officeDocument/2006/relationships/ctrlProp" Target="../ctrlProps/ctrlProp324.xml"/><Relationship Id="rId10" Type="http://schemas.openxmlformats.org/officeDocument/2006/relationships/control" Target="../activeX/activeX29.xml"/><Relationship Id="rId31" Type="http://schemas.openxmlformats.org/officeDocument/2006/relationships/ctrlProp" Target="../ctrlProps/ctrlProp298.xml"/><Relationship Id="rId44" Type="http://schemas.openxmlformats.org/officeDocument/2006/relationships/ctrlProp" Target="../ctrlProps/ctrlProp311.xml"/><Relationship Id="rId52" Type="http://schemas.openxmlformats.org/officeDocument/2006/relationships/ctrlProp" Target="../ctrlProps/ctrlProp319.xml"/><Relationship Id="rId60" Type="http://schemas.openxmlformats.org/officeDocument/2006/relationships/ctrlProp" Target="../ctrlProps/ctrlProp327.xml"/><Relationship Id="rId65" Type="http://schemas.openxmlformats.org/officeDocument/2006/relationships/ctrlProp" Target="../ctrlProps/ctrlProp332.xml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Relationship Id="rId13" Type="http://schemas.openxmlformats.org/officeDocument/2006/relationships/image" Target="../media/image30.emf"/><Relationship Id="rId18" Type="http://schemas.openxmlformats.org/officeDocument/2006/relationships/ctrlProp" Target="../ctrlProps/ctrlProp285.xml"/><Relationship Id="rId39" Type="http://schemas.openxmlformats.org/officeDocument/2006/relationships/ctrlProp" Target="../ctrlProps/ctrlProp306.xml"/><Relationship Id="rId34" Type="http://schemas.openxmlformats.org/officeDocument/2006/relationships/ctrlProp" Target="../ctrlProps/ctrlProp301.xml"/><Relationship Id="rId50" Type="http://schemas.openxmlformats.org/officeDocument/2006/relationships/ctrlProp" Target="../ctrlProps/ctrlProp317.xml"/><Relationship Id="rId55" Type="http://schemas.openxmlformats.org/officeDocument/2006/relationships/ctrlProp" Target="../ctrlProps/ctrlProp322.xm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49.xml"/><Relationship Id="rId21" Type="http://schemas.openxmlformats.org/officeDocument/2006/relationships/ctrlProp" Target="../ctrlProps/ctrlProp344.xml"/><Relationship Id="rId42" Type="http://schemas.openxmlformats.org/officeDocument/2006/relationships/ctrlProp" Target="../ctrlProps/ctrlProp365.xml"/><Relationship Id="rId47" Type="http://schemas.openxmlformats.org/officeDocument/2006/relationships/ctrlProp" Target="../ctrlProps/ctrlProp370.xml"/><Relationship Id="rId63" Type="http://schemas.openxmlformats.org/officeDocument/2006/relationships/ctrlProp" Target="../ctrlProps/ctrlProp386.xml"/><Relationship Id="rId68" Type="http://schemas.openxmlformats.org/officeDocument/2006/relationships/ctrlProp" Target="../ctrlProps/ctrlProp391.xml"/><Relationship Id="rId7" Type="http://schemas.openxmlformats.org/officeDocument/2006/relationships/image" Target="../media/image32.emf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339.xml"/><Relationship Id="rId29" Type="http://schemas.openxmlformats.org/officeDocument/2006/relationships/ctrlProp" Target="../ctrlProps/ctrlProp352.xml"/><Relationship Id="rId11" Type="http://schemas.openxmlformats.org/officeDocument/2006/relationships/image" Target="../media/image34.emf"/><Relationship Id="rId24" Type="http://schemas.openxmlformats.org/officeDocument/2006/relationships/ctrlProp" Target="../ctrlProps/ctrlProp347.xml"/><Relationship Id="rId32" Type="http://schemas.openxmlformats.org/officeDocument/2006/relationships/ctrlProp" Target="../ctrlProps/ctrlProp355.xml"/><Relationship Id="rId37" Type="http://schemas.openxmlformats.org/officeDocument/2006/relationships/ctrlProp" Target="../ctrlProps/ctrlProp360.xml"/><Relationship Id="rId40" Type="http://schemas.openxmlformats.org/officeDocument/2006/relationships/ctrlProp" Target="../ctrlProps/ctrlProp363.xml"/><Relationship Id="rId45" Type="http://schemas.openxmlformats.org/officeDocument/2006/relationships/ctrlProp" Target="../ctrlProps/ctrlProp368.xml"/><Relationship Id="rId53" Type="http://schemas.openxmlformats.org/officeDocument/2006/relationships/ctrlProp" Target="../ctrlProps/ctrlProp376.xml"/><Relationship Id="rId58" Type="http://schemas.openxmlformats.org/officeDocument/2006/relationships/ctrlProp" Target="../ctrlProps/ctrlProp381.xml"/><Relationship Id="rId66" Type="http://schemas.openxmlformats.org/officeDocument/2006/relationships/ctrlProp" Target="../ctrlProps/ctrlProp389.xml"/><Relationship Id="rId5" Type="http://schemas.openxmlformats.org/officeDocument/2006/relationships/image" Target="../media/image31.emf"/><Relationship Id="rId61" Type="http://schemas.openxmlformats.org/officeDocument/2006/relationships/ctrlProp" Target="../ctrlProps/ctrlProp384.xml"/><Relationship Id="rId19" Type="http://schemas.openxmlformats.org/officeDocument/2006/relationships/ctrlProp" Target="../ctrlProps/ctrlProp342.xml"/><Relationship Id="rId14" Type="http://schemas.openxmlformats.org/officeDocument/2006/relationships/ctrlProp" Target="../ctrlProps/ctrlProp337.xml"/><Relationship Id="rId22" Type="http://schemas.openxmlformats.org/officeDocument/2006/relationships/ctrlProp" Target="../ctrlProps/ctrlProp345.xml"/><Relationship Id="rId27" Type="http://schemas.openxmlformats.org/officeDocument/2006/relationships/ctrlProp" Target="../ctrlProps/ctrlProp350.xml"/><Relationship Id="rId30" Type="http://schemas.openxmlformats.org/officeDocument/2006/relationships/ctrlProp" Target="../ctrlProps/ctrlProp353.xml"/><Relationship Id="rId35" Type="http://schemas.openxmlformats.org/officeDocument/2006/relationships/ctrlProp" Target="../ctrlProps/ctrlProp358.xml"/><Relationship Id="rId43" Type="http://schemas.openxmlformats.org/officeDocument/2006/relationships/ctrlProp" Target="../ctrlProps/ctrlProp366.xml"/><Relationship Id="rId48" Type="http://schemas.openxmlformats.org/officeDocument/2006/relationships/ctrlProp" Target="../ctrlProps/ctrlProp371.xml"/><Relationship Id="rId56" Type="http://schemas.openxmlformats.org/officeDocument/2006/relationships/ctrlProp" Target="../ctrlProps/ctrlProp379.xml"/><Relationship Id="rId64" Type="http://schemas.openxmlformats.org/officeDocument/2006/relationships/ctrlProp" Target="../ctrlProps/ctrlProp387.xml"/><Relationship Id="rId69" Type="http://schemas.openxmlformats.org/officeDocument/2006/relationships/ctrlProp" Target="../ctrlProps/ctrlProp392.xml"/><Relationship Id="rId8" Type="http://schemas.openxmlformats.org/officeDocument/2006/relationships/control" Target="../activeX/activeX33.xml"/><Relationship Id="rId51" Type="http://schemas.openxmlformats.org/officeDocument/2006/relationships/ctrlProp" Target="../ctrlProps/ctrlProp374.xml"/><Relationship Id="rId3" Type="http://schemas.openxmlformats.org/officeDocument/2006/relationships/vmlDrawing" Target="../drawings/vmlDrawing7.vml"/><Relationship Id="rId12" Type="http://schemas.openxmlformats.org/officeDocument/2006/relationships/control" Target="../activeX/activeX35.xml"/><Relationship Id="rId17" Type="http://schemas.openxmlformats.org/officeDocument/2006/relationships/ctrlProp" Target="../ctrlProps/ctrlProp340.xml"/><Relationship Id="rId25" Type="http://schemas.openxmlformats.org/officeDocument/2006/relationships/ctrlProp" Target="../ctrlProps/ctrlProp348.xml"/><Relationship Id="rId33" Type="http://schemas.openxmlformats.org/officeDocument/2006/relationships/ctrlProp" Target="../ctrlProps/ctrlProp356.xml"/><Relationship Id="rId38" Type="http://schemas.openxmlformats.org/officeDocument/2006/relationships/ctrlProp" Target="../ctrlProps/ctrlProp361.xml"/><Relationship Id="rId46" Type="http://schemas.openxmlformats.org/officeDocument/2006/relationships/ctrlProp" Target="../ctrlProps/ctrlProp369.xml"/><Relationship Id="rId59" Type="http://schemas.openxmlformats.org/officeDocument/2006/relationships/ctrlProp" Target="../ctrlProps/ctrlProp382.xml"/><Relationship Id="rId67" Type="http://schemas.openxmlformats.org/officeDocument/2006/relationships/ctrlProp" Target="../ctrlProps/ctrlProp390.xml"/><Relationship Id="rId20" Type="http://schemas.openxmlformats.org/officeDocument/2006/relationships/ctrlProp" Target="../ctrlProps/ctrlProp343.xml"/><Relationship Id="rId41" Type="http://schemas.openxmlformats.org/officeDocument/2006/relationships/ctrlProp" Target="../ctrlProps/ctrlProp364.xml"/><Relationship Id="rId54" Type="http://schemas.openxmlformats.org/officeDocument/2006/relationships/ctrlProp" Target="../ctrlProps/ctrlProp377.xml"/><Relationship Id="rId62" Type="http://schemas.openxmlformats.org/officeDocument/2006/relationships/ctrlProp" Target="../ctrlProps/ctrlProp38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2.xml"/><Relationship Id="rId15" Type="http://schemas.openxmlformats.org/officeDocument/2006/relationships/ctrlProp" Target="../ctrlProps/ctrlProp338.xml"/><Relationship Id="rId23" Type="http://schemas.openxmlformats.org/officeDocument/2006/relationships/ctrlProp" Target="../ctrlProps/ctrlProp346.xml"/><Relationship Id="rId28" Type="http://schemas.openxmlformats.org/officeDocument/2006/relationships/ctrlProp" Target="../ctrlProps/ctrlProp351.xml"/><Relationship Id="rId36" Type="http://schemas.openxmlformats.org/officeDocument/2006/relationships/ctrlProp" Target="../ctrlProps/ctrlProp359.xml"/><Relationship Id="rId49" Type="http://schemas.openxmlformats.org/officeDocument/2006/relationships/ctrlProp" Target="../ctrlProps/ctrlProp372.xml"/><Relationship Id="rId57" Type="http://schemas.openxmlformats.org/officeDocument/2006/relationships/ctrlProp" Target="../ctrlProps/ctrlProp380.xml"/><Relationship Id="rId10" Type="http://schemas.openxmlformats.org/officeDocument/2006/relationships/control" Target="../activeX/activeX34.xml"/><Relationship Id="rId31" Type="http://schemas.openxmlformats.org/officeDocument/2006/relationships/ctrlProp" Target="../ctrlProps/ctrlProp354.xml"/><Relationship Id="rId44" Type="http://schemas.openxmlformats.org/officeDocument/2006/relationships/ctrlProp" Target="../ctrlProps/ctrlProp367.xml"/><Relationship Id="rId52" Type="http://schemas.openxmlformats.org/officeDocument/2006/relationships/ctrlProp" Target="../ctrlProps/ctrlProp375.xml"/><Relationship Id="rId60" Type="http://schemas.openxmlformats.org/officeDocument/2006/relationships/ctrlProp" Target="../ctrlProps/ctrlProp383.xml"/><Relationship Id="rId65" Type="http://schemas.openxmlformats.org/officeDocument/2006/relationships/ctrlProp" Target="../ctrlProps/ctrlProp388.xml"/><Relationship Id="rId4" Type="http://schemas.openxmlformats.org/officeDocument/2006/relationships/control" Target="../activeX/activeX31.xml"/><Relationship Id="rId9" Type="http://schemas.openxmlformats.org/officeDocument/2006/relationships/image" Target="../media/image33.emf"/><Relationship Id="rId13" Type="http://schemas.openxmlformats.org/officeDocument/2006/relationships/image" Target="../media/image35.emf"/><Relationship Id="rId18" Type="http://schemas.openxmlformats.org/officeDocument/2006/relationships/ctrlProp" Target="../ctrlProps/ctrlProp341.xml"/><Relationship Id="rId39" Type="http://schemas.openxmlformats.org/officeDocument/2006/relationships/ctrlProp" Target="../ctrlProps/ctrlProp362.xml"/><Relationship Id="rId34" Type="http://schemas.openxmlformats.org/officeDocument/2006/relationships/ctrlProp" Target="../ctrlProps/ctrlProp357.xml"/><Relationship Id="rId50" Type="http://schemas.openxmlformats.org/officeDocument/2006/relationships/ctrlProp" Target="../ctrlProps/ctrlProp373.xml"/><Relationship Id="rId55" Type="http://schemas.openxmlformats.org/officeDocument/2006/relationships/ctrlProp" Target="../ctrlProps/ctrlProp378.xm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05.xml"/><Relationship Id="rId21" Type="http://schemas.openxmlformats.org/officeDocument/2006/relationships/ctrlProp" Target="../ctrlProps/ctrlProp400.xml"/><Relationship Id="rId42" Type="http://schemas.openxmlformats.org/officeDocument/2006/relationships/ctrlProp" Target="../ctrlProps/ctrlProp421.xml"/><Relationship Id="rId47" Type="http://schemas.openxmlformats.org/officeDocument/2006/relationships/ctrlProp" Target="../ctrlProps/ctrlProp426.xml"/><Relationship Id="rId63" Type="http://schemas.openxmlformats.org/officeDocument/2006/relationships/ctrlProp" Target="../ctrlProps/ctrlProp442.xml"/><Relationship Id="rId68" Type="http://schemas.openxmlformats.org/officeDocument/2006/relationships/ctrlProp" Target="../ctrlProps/ctrlProp447.xml"/><Relationship Id="rId7" Type="http://schemas.openxmlformats.org/officeDocument/2006/relationships/image" Target="../media/image37.emf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395.xml"/><Relationship Id="rId29" Type="http://schemas.openxmlformats.org/officeDocument/2006/relationships/ctrlProp" Target="../ctrlProps/ctrlProp408.xml"/><Relationship Id="rId11" Type="http://schemas.openxmlformats.org/officeDocument/2006/relationships/image" Target="../media/image39.emf"/><Relationship Id="rId24" Type="http://schemas.openxmlformats.org/officeDocument/2006/relationships/ctrlProp" Target="../ctrlProps/ctrlProp403.xml"/><Relationship Id="rId32" Type="http://schemas.openxmlformats.org/officeDocument/2006/relationships/ctrlProp" Target="../ctrlProps/ctrlProp411.xml"/><Relationship Id="rId37" Type="http://schemas.openxmlformats.org/officeDocument/2006/relationships/ctrlProp" Target="../ctrlProps/ctrlProp416.xml"/><Relationship Id="rId40" Type="http://schemas.openxmlformats.org/officeDocument/2006/relationships/ctrlProp" Target="../ctrlProps/ctrlProp419.xml"/><Relationship Id="rId45" Type="http://schemas.openxmlformats.org/officeDocument/2006/relationships/ctrlProp" Target="../ctrlProps/ctrlProp424.xml"/><Relationship Id="rId53" Type="http://schemas.openxmlformats.org/officeDocument/2006/relationships/ctrlProp" Target="../ctrlProps/ctrlProp432.xml"/><Relationship Id="rId58" Type="http://schemas.openxmlformats.org/officeDocument/2006/relationships/ctrlProp" Target="../ctrlProps/ctrlProp437.xml"/><Relationship Id="rId66" Type="http://schemas.openxmlformats.org/officeDocument/2006/relationships/ctrlProp" Target="../ctrlProps/ctrlProp445.xml"/><Relationship Id="rId5" Type="http://schemas.openxmlformats.org/officeDocument/2006/relationships/image" Target="../media/image36.emf"/><Relationship Id="rId61" Type="http://schemas.openxmlformats.org/officeDocument/2006/relationships/ctrlProp" Target="../ctrlProps/ctrlProp440.xml"/><Relationship Id="rId19" Type="http://schemas.openxmlformats.org/officeDocument/2006/relationships/ctrlProp" Target="../ctrlProps/ctrlProp398.xml"/><Relationship Id="rId14" Type="http://schemas.openxmlformats.org/officeDocument/2006/relationships/ctrlProp" Target="../ctrlProps/ctrlProp393.xml"/><Relationship Id="rId22" Type="http://schemas.openxmlformats.org/officeDocument/2006/relationships/ctrlProp" Target="../ctrlProps/ctrlProp401.xml"/><Relationship Id="rId27" Type="http://schemas.openxmlformats.org/officeDocument/2006/relationships/ctrlProp" Target="../ctrlProps/ctrlProp406.xml"/><Relationship Id="rId30" Type="http://schemas.openxmlformats.org/officeDocument/2006/relationships/ctrlProp" Target="../ctrlProps/ctrlProp409.xml"/><Relationship Id="rId35" Type="http://schemas.openxmlformats.org/officeDocument/2006/relationships/ctrlProp" Target="../ctrlProps/ctrlProp414.xml"/><Relationship Id="rId43" Type="http://schemas.openxmlformats.org/officeDocument/2006/relationships/ctrlProp" Target="../ctrlProps/ctrlProp422.xml"/><Relationship Id="rId48" Type="http://schemas.openxmlformats.org/officeDocument/2006/relationships/ctrlProp" Target="../ctrlProps/ctrlProp427.xml"/><Relationship Id="rId56" Type="http://schemas.openxmlformats.org/officeDocument/2006/relationships/ctrlProp" Target="../ctrlProps/ctrlProp435.xml"/><Relationship Id="rId64" Type="http://schemas.openxmlformats.org/officeDocument/2006/relationships/ctrlProp" Target="../ctrlProps/ctrlProp443.xml"/><Relationship Id="rId69" Type="http://schemas.openxmlformats.org/officeDocument/2006/relationships/ctrlProp" Target="../ctrlProps/ctrlProp448.xml"/><Relationship Id="rId8" Type="http://schemas.openxmlformats.org/officeDocument/2006/relationships/control" Target="../activeX/activeX38.xml"/><Relationship Id="rId51" Type="http://schemas.openxmlformats.org/officeDocument/2006/relationships/ctrlProp" Target="../ctrlProps/ctrlProp430.xml"/><Relationship Id="rId3" Type="http://schemas.openxmlformats.org/officeDocument/2006/relationships/vmlDrawing" Target="../drawings/vmlDrawing8.vml"/><Relationship Id="rId12" Type="http://schemas.openxmlformats.org/officeDocument/2006/relationships/control" Target="../activeX/activeX40.xml"/><Relationship Id="rId17" Type="http://schemas.openxmlformats.org/officeDocument/2006/relationships/ctrlProp" Target="../ctrlProps/ctrlProp396.xml"/><Relationship Id="rId25" Type="http://schemas.openxmlformats.org/officeDocument/2006/relationships/ctrlProp" Target="../ctrlProps/ctrlProp404.xml"/><Relationship Id="rId33" Type="http://schemas.openxmlformats.org/officeDocument/2006/relationships/ctrlProp" Target="../ctrlProps/ctrlProp412.xml"/><Relationship Id="rId38" Type="http://schemas.openxmlformats.org/officeDocument/2006/relationships/ctrlProp" Target="../ctrlProps/ctrlProp417.xml"/><Relationship Id="rId46" Type="http://schemas.openxmlformats.org/officeDocument/2006/relationships/ctrlProp" Target="../ctrlProps/ctrlProp425.xml"/><Relationship Id="rId59" Type="http://schemas.openxmlformats.org/officeDocument/2006/relationships/ctrlProp" Target="../ctrlProps/ctrlProp438.xml"/><Relationship Id="rId67" Type="http://schemas.openxmlformats.org/officeDocument/2006/relationships/ctrlProp" Target="../ctrlProps/ctrlProp446.xml"/><Relationship Id="rId20" Type="http://schemas.openxmlformats.org/officeDocument/2006/relationships/ctrlProp" Target="../ctrlProps/ctrlProp399.xml"/><Relationship Id="rId41" Type="http://schemas.openxmlformats.org/officeDocument/2006/relationships/ctrlProp" Target="../ctrlProps/ctrlProp420.xml"/><Relationship Id="rId54" Type="http://schemas.openxmlformats.org/officeDocument/2006/relationships/ctrlProp" Target="../ctrlProps/ctrlProp433.xml"/><Relationship Id="rId62" Type="http://schemas.openxmlformats.org/officeDocument/2006/relationships/ctrlProp" Target="../ctrlProps/ctrlProp44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15" Type="http://schemas.openxmlformats.org/officeDocument/2006/relationships/ctrlProp" Target="../ctrlProps/ctrlProp394.xml"/><Relationship Id="rId23" Type="http://schemas.openxmlformats.org/officeDocument/2006/relationships/ctrlProp" Target="../ctrlProps/ctrlProp402.xml"/><Relationship Id="rId28" Type="http://schemas.openxmlformats.org/officeDocument/2006/relationships/ctrlProp" Target="../ctrlProps/ctrlProp407.xml"/><Relationship Id="rId36" Type="http://schemas.openxmlformats.org/officeDocument/2006/relationships/ctrlProp" Target="../ctrlProps/ctrlProp415.xml"/><Relationship Id="rId49" Type="http://schemas.openxmlformats.org/officeDocument/2006/relationships/ctrlProp" Target="../ctrlProps/ctrlProp428.xml"/><Relationship Id="rId57" Type="http://schemas.openxmlformats.org/officeDocument/2006/relationships/ctrlProp" Target="../ctrlProps/ctrlProp436.xml"/><Relationship Id="rId10" Type="http://schemas.openxmlformats.org/officeDocument/2006/relationships/control" Target="../activeX/activeX39.xml"/><Relationship Id="rId31" Type="http://schemas.openxmlformats.org/officeDocument/2006/relationships/ctrlProp" Target="../ctrlProps/ctrlProp410.xml"/><Relationship Id="rId44" Type="http://schemas.openxmlformats.org/officeDocument/2006/relationships/ctrlProp" Target="../ctrlProps/ctrlProp423.xml"/><Relationship Id="rId52" Type="http://schemas.openxmlformats.org/officeDocument/2006/relationships/ctrlProp" Target="../ctrlProps/ctrlProp431.xml"/><Relationship Id="rId60" Type="http://schemas.openxmlformats.org/officeDocument/2006/relationships/ctrlProp" Target="../ctrlProps/ctrlProp439.xml"/><Relationship Id="rId65" Type="http://schemas.openxmlformats.org/officeDocument/2006/relationships/ctrlProp" Target="../ctrlProps/ctrlProp444.xml"/><Relationship Id="rId4" Type="http://schemas.openxmlformats.org/officeDocument/2006/relationships/control" Target="../activeX/activeX36.xml"/><Relationship Id="rId9" Type="http://schemas.openxmlformats.org/officeDocument/2006/relationships/image" Target="../media/image38.emf"/><Relationship Id="rId13" Type="http://schemas.openxmlformats.org/officeDocument/2006/relationships/image" Target="../media/image40.emf"/><Relationship Id="rId18" Type="http://schemas.openxmlformats.org/officeDocument/2006/relationships/ctrlProp" Target="../ctrlProps/ctrlProp397.xml"/><Relationship Id="rId39" Type="http://schemas.openxmlformats.org/officeDocument/2006/relationships/ctrlProp" Target="../ctrlProps/ctrlProp418.xml"/><Relationship Id="rId34" Type="http://schemas.openxmlformats.org/officeDocument/2006/relationships/ctrlProp" Target="../ctrlProps/ctrlProp413.xml"/><Relationship Id="rId50" Type="http://schemas.openxmlformats.org/officeDocument/2006/relationships/ctrlProp" Target="../ctrlProps/ctrlProp429.xml"/><Relationship Id="rId55" Type="http://schemas.openxmlformats.org/officeDocument/2006/relationships/ctrlProp" Target="../ctrlProps/ctrlProp434.x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61.xml"/><Relationship Id="rId21" Type="http://schemas.openxmlformats.org/officeDocument/2006/relationships/ctrlProp" Target="../ctrlProps/ctrlProp456.xml"/><Relationship Id="rId42" Type="http://schemas.openxmlformats.org/officeDocument/2006/relationships/ctrlProp" Target="../ctrlProps/ctrlProp477.xml"/><Relationship Id="rId47" Type="http://schemas.openxmlformats.org/officeDocument/2006/relationships/ctrlProp" Target="../ctrlProps/ctrlProp482.xml"/><Relationship Id="rId63" Type="http://schemas.openxmlformats.org/officeDocument/2006/relationships/ctrlProp" Target="../ctrlProps/ctrlProp498.xml"/><Relationship Id="rId68" Type="http://schemas.openxmlformats.org/officeDocument/2006/relationships/ctrlProp" Target="../ctrlProps/ctrlProp503.xml"/><Relationship Id="rId7" Type="http://schemas.openxmlformats.org/officeDocument/2006/relationships/image" Target="../media/image42.emf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451.xml"/><Relationship Id="rId29" Type="http://schemas.openxmlformats.org/officeDocument/2006/relationships/ctrlProp" Target="../ctrlProps/ctrlProp464.xml"/><Relationship Id="rId11" Type="http://schemas.openxmlformats.org/officeDocument/2006/relationships/image" Target="../media/image44.emf"/><Relationship Id="rId24" Type="http://schemas.openxmlformats.org/officeDocument/2006/relationships/ctrlProp" Target="../ctrlProps/ctrlProp459.xml"/><Relationship Id="rId32" Type="http://schemas.openxmlformats.org/officeDocument/2006/relationships/ctrlProp" Target="../ctrlProps/ctrlProp467.xml"/><Relationship Id="rId37" Type="http://schemas.openxmlformats.org/officeDocument/2006/relationships/ctrlProp" Target="../ctrlProps/ctrlProp472.xml"/><Relationship Id="rId40" Type="http://schemas.openxmlformats.org/officeDocument/2006/relationships/ctrlProp" Target="../ctrlProps/ctrlProp475.xml"/><Relationship Id="rId45" Type="http://schemas.openxmlformats.org/officeDocument/2006/relationships/ctrlProp" Target="../ctrlProps/ctrlProp480.xml"/><Relationship Id="rId53" Type="http://schemas.openxmlformats.org/officeDocument/2006/relationships/ctrlProp" Target="../ctrlProps/ctrlProp488.xml"/><Relationship Id="rId58" Type="http://schemas.openxmlformats.org/officeDocument/2006/relationships/ctrlProp" Target="../ctrlProps/ctrlProp493.xml"/><Relationship Id="rId66" Type="http://schemas.openxmlformats.org/officeDocument/2006/relationships/ctrlProp" Target="../ctrlProps/ctrlProp501.xml"/><Relationship Id="rId5" Type="http://schemas.openxmlformats.org/officeDocument/2006/relationships/image" Target="../media/image41.emf"/><Relationship Id="rId61" Type="http://schemas.openxmlformats.org/officeDocument/2006/relationships/ctrlProp" Target="../ctrlProps/ctrlProp496.xml"/><Relationship Id="rId19" Type="http://schemas.openxmlformats.org/officeDocument/2006/relationships/ctrlProp" Target="../ctrlProps/ctrlProp454.xml"/><Relationship Id="rId14" Type="http://schemas.openxmlformats.org/officeDocument/2006/relationships/ctrlProp" Target="../ctrlProps/ctrlProp449.xml"/><Relationship Id="rId22" Type="http://schemas.openxmlformats.org/officeDocument/2006/relationships/ctrlProp" Target="../ctrlProps/ctrlProp457.xml"/><Relationship Id="rId27" Type="http://schemas.openxmlformats.org/officeDocument/2006/relationships/ctrlProp" Target="../ctrlProps/ctrlProp462.xml"/><Relationship Id="rId30" Type="http://schemas.openxmlformats.org/officeDocument/2006/relationships/ctrlProp" Target="../ctrlProps/ctrlProp465.xml"/><Relationship Id="rId35" Type="http://schemas.openxmlformats.org/officeDocument/2006/relationships/ctrlProp" Target="../ctrlProps/ctrlProp470.xml"/><Relationship Id="rId43" Type="http://schemas.openxmlformats.org/officeDocument/2006/relationships/ctrlProp" Target="../ctrlProps/ctrlProp478.xml"/><Relationship Id="rId48" Type="http://schemas.openxmlformats.org/officeDocument/2006/relationships/ctrlProp" Target="../ctrlProps/ctrlProp483.xml"/><Relationship Id="rId56" Type="http://schemas.openxmlformats.org/officeDocument/2006/relationships/ctrlProp" Target="../ctrlProps/ctrlProp491.xml"/><Relationship Id="rId64" Type="http://schemas.openxmlformats.org/officeDocument/2006/relationships/ctrlProp" Target="../ctrlProps/ctrlProp499.xml"/><Relationship Id="rId69" Type="http://schemas.openxmlformats.org/officeDocument/2006/relationships/ctrlProp" Target="../ctrlProps/ctrlProp504.xml"/><Relationship Id="rId8" Type="http://schemas.openxmlformats.org/officeDocument/2006/relationships/control" Target="../activeX/activeX43.xml"/><Relationship Id="rId51" Type="http://schemas.openxmlformats.org/officeDocument/2006/relationships/ctrlProp" Target="../ctrlProps/ctrlProp486.xml"/><Relationship Id="rId3" Type="http://schemas.openxmlformats.org/officeDocument/2006/relationships/vmlDrawing" Target="../drawings/vmlDrawing9.vml"/><Relationship Id="rId12" Type="http://schemas.openxmlformats.org/officeDocument/2006/relationships/control" Target="../activeX/activeX45.xml"/><Relationship Id="rId17" Type="http://schemas.openxmlformats.org/officeDocument/2006/relationships/ctrlProp" Target="../ctrlProps/ctrlProp452.xml"/><Relationship Id="rId25" Type="http://schemas.openxmlformats.org/officeDocument/2006/relationships/ctrlProp" Target="../ctrlProps/ctrlProp460.xml"/><Relationship Id="rId33" Type="http://schemas.openxmlformats.org/officeDocument/2006/relationships/ctrlProp" Target="../ctrlProps/ctrlProp468.xml"/><Relationship Id="rId38" Type="http://schemas.openxmlformats.org/officeDocument/2006/relationships/ctrlProp" Target="../ctrlProps/ctrlProp473.xml"/><Relationship Id="rId46" Type="http://schemas.openxmlformats.org/officeDocument/2006/relationships/ctrlProp" Target="../ctrlProps/ctrlProp481.xml"/><Relationship Id="rId59" Type="http://schemas.openxmlformats.org/officeDocument/2006/relationships/ctrlProp" Target="../ctrlProps/ctrlProp494.xml"/><Relationship Id="rId67" Type="http://schemas.openxmlformats.org/officeDocument/2006/relationships/ctrlProp" Target="../ctrlProps/ctrlProp502.xml"/><Relationship Id="rId20" Type="http://schemas.openxmlformats.org/officeDocument/2006/relationships/ctrlProp" Target="../ctrlProps/ctrlProp455.xml"/><Relationship Id="rId41" Type="http://schemas.openxmlformats.org/officeDocument/2006/relationships/ctrlProp" Target="../ctrlProps/ctrlProp476.xml"/><Relationship Id="rId54" Type="http://schemas.openxmlformats.org/officeDocument/2006/relationships/ctrlProp" Target="../ctrlProps/ctrlProp489.xml"/><Relationship Id="rId62" Type="http://schemas.openxmlformats.org/officeDocument/2006/relationships/ctrlProp" Target="../ctrlProps/ctrlProp49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2.xml"/><Relationship Id="rId15" Type="http://schemas.openxmlformats.org/officeDocument/2006/relationships/ctrlProp" Target="../ctrlProps/ctrlProp450.xml"/><Relationship Id="rId23" Type="http://schemas.openxmlformats.org/officeDocument/2006/relationships/ctrlProp" Target="../ctrlProps/ctrlProp458.xml"/><Relationship Id="rId28" Type="http://schemas.openxmlformats.org/officeDocument/2006/relationships/ctrlProp" Target="../ctrlProps/ctrlProp463.xml"/><Relationship Id="rId36" Type="http://schemas.openxmlformats.org/officeDocument/2006/relationships/ctrlProp" Target="../ctrlProps/ctrlProp471.xml"/><Relationship Id="rId49" Type="http://schemas.openxmlformats.org/officeDocument/2006/relationships/ctrlProp" Target="../ctrlProps/ctrlProp484.xml"/><Relationship Id="rId57" Type="http://schemas.openxmlformats.org/officeDocument/2006/relationships/ctrlProp" Target="../ctrlProps/ctrlProp492.xml"/><Relationship Id="rId10" Type="http://schemas.openxmlformats.org/officeDocument/2006/relationships/control" Target="../activeX/activeX44.xml"/><Relationship Id="rId31" Type="http://schemas.openxmlformats.org/officeDocument/2006/relationships/ctrlProp" Target="../ctrlProps/ctrlProp466.xml"/><Relationship Id="rId44" Type="http://schemas.openxmlformats.org/officeDocument/2006/relationships/ctrlProp" Target="../ctrlProps/ctrlProp479.xml"/><Relationship Id="rId52" Type="http://schemas.openxmlformats.org/officeDocument/2006/relationships/ctrlProp" Target="../ctrlProps/ctrlProp487.xml"/><Relationship Id="rId60" Type="http://schemas.openxmlformats.org/officeDocument/2006/relationships/ctrlProp" Target="../ctrlProps/ctrlProp495.xml"/><Relationship Id="rId65" Type="http://schemas.openxmlformats.org/officeDocument/2006/relationships/ctrlProp" Target="../ctrlProps/ctrlProp500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3" Type="http://schemas.openxmlformats.org/officeDocument/2006/relationships/image" Target="../media/image45.emf"/><Relationship Id="rId18" Type="http://schemas.openxmlformats.org/officeDocument/2006/relationships/ctrlProp" Target="../ctrlProps/ctrlProp453.xml"/><Relationship Id="rId39" Type="http://schemas.openxmlformats.org/officeDocument/2006/relationships/ctrlProp" Target="../ctrlProps/ctrlProp474.xml"/><Relationship Id="rId34" Type="http://schemas.openxmlformats.org/officeDocument/2006/relationships/ctrlProp" Target="../ctrlProps/ctrlProp469.xml"/><Relationship Id="rId50" Type="http://schemas.openxmlformats.org/officeDocument/2006/relationships/ctrlProp" Target="../ctrlProps/ctrlProp485.xml"/><Relationship Id="rId55" Type="http://schemas.openxmlformats.org/officeDocument/2006/relationships/ctrlProp" Target="../ctrlProps/ctrlProp490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17.xml"/><Relationship Id="rId21" Type="http://schemas.openxmlformats.org/officeDocument/2006/relationships/ctrlProp" Target="../ctrlProps/ctrlProp512.xml"/><Relationship Id="rId42" Type="http://schemas.openxmlformats.org/officeDocument/2006/relationships/ctrlProp" Target="../ctrlProps/ctrlProp533.xml"/><Relationship Id="rId47" Type="http://schemas.openxmlformats.org/officeDocument/2006/relationships/ctrlProp" Target="../ctrlProps/ctrlProp538.xml"/><Relationship Id="rId63" Type="http://schemas.openxmlformats.org/officeDocument/2006/relationships/ctrlProp" Target="../ctrlProps/ctrlProp554.xml"/><Relationship Id="rId68" Type="http://schemas.openxmlformats.org/officeDocument/2006/relationships/ctrlProp" Target="../ctrlProps/ctrlProp559.xml"/><Relationship Id="rId7" Type="http://schemas.openxmlformats.org/officeDocument/2006/relationships/image" Target="../media/image47.emf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507.xml"/><Relationship Id="rId29" Type="http://schemas.openxmlformats.org/officeDocument/2006/relationships/ctrlProp" Target="../ctrlProps/ctrlProp520.xml"/><Relationship Id="rId11" Type="http://schemas.openxmlformats.org/officeDocument/2006/relationships/image" Target="../media/image49.emf"/><Relationship Id="rId24" Type="http://schemas.openxmlformats.org/officeDocument/2006/relationships/ctrlProp" Target="../ctrlProps/ctrlProp515.xml"/><Relationship Id="rId32" Type="http://schemas.openxmlformats.org/officeDocument/2006/relationships/ctrlProp" Target="../ctrlProps/ctrlProp523.xml"/><Relationship Id="rId37" Type="http://schemas.openxmlformats.org/officeDocument/2006/relationships/ctrlProp" Target="../ctrlProps/ctrlProp528.xml"/><Relationship Id="rId40" Type="http://schemas.openxmlformats.org/officeDocument/2006/relationships/ctrlProp" Target="../ctrlProps/ctrlProp531.xml"/><Relationship Id="rId45" Type="http://schemas.openxmlformats.org/officeDocument/2006/relationships/ctrlProp" Target="../ctrlProps/ctrlProp536.xml"/><Relationship Id="rId53" Type="http://schemas.openxmlformats.org/officeDocument/2006/relationships/ctrlProp" Target="../ctrlProps/ctrlProp544.xml"/><Relationship Id="rId58" Type="http://schemas.openxmlformats.org/officeDocument/2006/relationships/ctrlProp" Target="../ctrlProps/ctrlProp549.xml"/><Relationship Id="rId66" Type="http://schemas.openxmlformats.org/officeDocument/2006/relationships/ctrlProp" Target="../ctrlProps/ctrlProp557.xml"/><Relationship Id="rId5" Type="http://schemas.openxmlformats.org/officeDocument/2006/relationships/image" Target="../media/image46.emf"/><Relationship Id="rId61" Type="http://schemas.openxmlformats.org/officeDocument/2006/relationships/ctrlProp" Target="../ctrlProps/ctrlProp552.xml"/><Relationship Id="rId19" Type="http://schemas.openxmlformats.org/officeDocument/2006/relationships/ctrlProp" Target="../ctrlProps/ctrlProp510.xml"/><Relationship Id="rId14" Type="http://schemas.openxmlformats.org/officeDocument/2006/relationships/ctrlProp" Target="../ctrlProps/ctrlProp505.xml"/><Relationship Id="rId22" Type="http://schemas.openxmlformats.org/officeDocument/2006/relationships/ctrlProp" Target="../ctrlProps/ctrlProp513.xml"/><Relationship Id="rId27" Type="http://schemas.openxmlformats.org/officeDocument/2006/relationships/ctrlProp" Target="../ctrlProps/ctrlProp518.xml"/><Relationship Id="rId30" Type="http://schemas.openxmlformats.org/officeDocument/2006/relationships/ctrlProp" Target="../ctrlProps/ctrlProp521.xml"/><Relationship Id="rId35" Type="http://schemas.openxmlformats.org/officeDocument/2006/relationships/ctrlProp" Target="../ctrlProps/ctrlProp526.xml"/><Relationship Id="rId43" Type="http://schemas.openxmlformats.org/officeDocument/2006/relationships/ctrlProp" Target="../ctrlProps/ctrlProp534.xml"/><Relationship Id="rId48" Type="http://schemas.openxmlformats.org/officeDocument/2006/relationships/ctrlProp" Target="../ctrlProps/ctrlProp539.xml"/><Relationship Id="rId56" Type="http://schemas.openxmlformats.org/officeDocument/2006/relationships/ctrlProp" Target="../ctrlProps/ctrlProp547.xml"/><Relationship Id="rId64" Type="http://schemas.openxmlformats.org/officeDocument/2006/relationships/ctrlProp" Target="../ctrlProps/ctrlProp555.xml"/><Relationship Id="rId69" Type="http://schemas.openxmlformats.org/officeDocument/2006/relationships/ctrlProp" Target="../ctrlProps/ctrlProp560.xml"/><Relationship Id="rId8" Type="http://schemas.openxmlformats.org/officeDocument/2006/relationships/control" Target="../activeX/activeX48.xml"/><Relationship Id="rId51" Type="http://schemas.openxmlformats.org/officeDocument/2006/relationships/ctrlProp" Target="../ctrlProps/ctrlProp542.xml"/><Relationship Id="rId3" Type="http://schemas.openxmlformats.org/officeDocument/2006/relationships/vmlDrawing" Target="../drawings/vmlDrawing10.vml"/><Relationship Id="rId12" Type="http://schemas.openxmlformats.org/officeDocument/2006/relationships/control" Target="../activeX/activeX50.xml"/><Relationship Id="rId17" Type="http://schemas.openxmlformats.org/officeDocument/2006/relationships/ctrlProp" Target="../ctrlProps/ctrlProp508.xml"/><Relationship Id="rId25" Type="http://schemas.openxmlformats.org/officeDocument/2006/relationships/ctrlProp" Target="../ctrlProps/ctrlProp516.xml"/><Relationship Id="rId33" Type="http://schemas.openxmlformats.org/officeDocument/2006/relationships/ctrlProp" Target="../ctrlProps/ctrlProp524.xml"/><Relationship Id="rId38" Type="http://schemas.openxmlformats.org/officeDocument/2006/relationships/ctrlProp" Target="../ctrlProps/ctrlProp529.xml"/><Relationship Id="rId46" Type="http://schemas.openxmlformats.org/officeDocument/2006/relationships/ctrlProp" Target="../ctrlProps/ctrlProp537.xml"/><Relationship Id="rId59" Type="http://schemas.openxmlformats.org/officeDocument/2006/relationships/ctrlProp" Target="../ctrlProps/ctrlProp550.xml"/><Relationship Id="rId67" Type="http://schemas.openxmlformats.org/officeDocument/2006/relationships/ctrlProp" Target="../ctrlProps/ctrlProp558.xml"/><Relationship Id="rId20" Type="http://schemas.openxmlformats.org/officeDocument/2006/relationships/ctrlProp" Target="../ctrlProps/ctrlProp511.xml"/><Relationship Id="rId41" Type="http://schemas.openxmlformats.org/officeDocument/2006/relationships/ctrlProp" Target="../ctrlProps/ctrlProp532.xml"/><Relationship Id="rId54" Type="http://schemas.openxmlformats.org/officeDocument/2006/relationships/ctrlProp" Target="../ctrlProps/ctrlProp545.xml"/><Relationship Id="rId62" Type="http://schemas.openxmlformats.org/officeDocument/2006/relationships/ctrlProp" Target="../ctrlProps/ctrlProp55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7.xml"/><Relationship Id="rId15" Type="http://schemas.openxmlformats.org/officeDocument/2006/relationships/ctrlProp" Target="../ctrlProps/ctrlProp506.xml"/><Relationship Id="rId23" Type="http://schemas.openxmlformats.org/officeDocument/2006/relationships/ctrlProp" Target="../ctrlProps/ctrlProp514.xml"/><Relationship Id="rId28" Type="http://schemas.openxmlformats.org/officeDocument/2006/relationships/ctrlProp" Target="../ctrlProps/ctrlProp519.xml"/><Relationship Id="rId36" Type="http://schemas.openxmlformats.org/officeDocument/2006/relationships/ctrlProp" Target="../ctrlProps/ctrlProp527.xml"/><Relationship Id="rId49" Type="http://schemas.openxmlformats.org/officeDocument/2006/relationships/ctrlProp" Target="../ctrlProps/ctrlProp540.xml"/><Relationship Id="rId57" Type="http://schemas.openxmlformats.org/officeDocument/2006/relationships/ctrlProp" Target="../ctrlProps/ctrlProp548.xml"/><Relationship Id="rId10" Type="http://schemas.openxmlformats.org/officeDocument/2006/relationships/control" Target="../activeX/activeX49.xml"/><Relationship Id="rId31" Type="http://schemas.openxmlformats.org/officeDocument/2006/relationships/ctrlProp" Target="../ctrlProps/ctrlProp522.xml"/><Relationship Id="rId44" Type="http://schemas.openxmlformats.org/officeDocument/2006/relationships/ctrlProp" Target="../ctrlProps/ctrlProp535.xml"/><Relationship Id="rId52" Type="http://schemas.openxmlformats.org/officeDocument/2006/relationships/ctrlProp" Target="../ctrlProps/ctrlProp543.xml"/><Relationship Id="rId60" Type="http://schemas.openxmlformats.org/officeDocument/2006/relationships/ctrlProp" Target="../ctrlProps/ctrlProp551.xml"/><Relationship Id="rId65" Type="http://schemas.openxmlformats.org/officeDocument/2006/relationships/ctrlProp" Target="../ctrlProps/ctrlProp556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Relationship Id="rId13" Type="http://schemas.openxmlformats.org/officeDocument/2006/relationships/image" Target="../media/image50.emf"/><Relationship Id="rId18" Type="http://schemas.openxmlformats.org/officeDocument/2006/relationships/ctrlProp" Target="../ctrlProps/ctrlProp509.xml"/><Relationship Id="rId39" Type="http://schemas.openxmlformats.org/officeDocument/2006/relationships/ctrlProp" Target="../ctrlProps/ctrlProp530.xml"/><Relationship Id="rId34" Type="http://schemas.openxmlformats.org/officeDocument/2006/relationships/ctrlProp" Target="../ctrlProps/ctrlProp525.xml"/><Relationship Id="rId50" Type="http://schemas.openxmlformats.org/officeDocument/2006/relationships/ctrlProp" Target="../ctrlProps/ctrlProp541.xml"/><Relationship Id="rId55" Type="http://schemas.openxmlformats.org/officeDocument/2006/relationships/ctrlProp" Target="../ctrlProps/ctrlProp546.xml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73.xml"/><Relationship Id="rId21" Type="http://schemas.openxmlformats.org/officeDocument/2006/relationships/ctrlProp" Target="../ctrlProps/ctrlProp568.xml"/><Relationship Id="rId42" Type="http://schemas.openxmlformats.org/officeDocument/2006/relationships/ctrlProp" Target="../ctrlProps/ctrlProp589.xml"/><Relationship Id="rId47" Type="http://schemas.openxmlformats.org/officeDocument/2006/relationships/ctrlProp" Target="../ctrlProps/ctrlProp594.xml"/><Relationship Id="rId63" Type="http://schemas.openxmlformats.org/officeDocument/2006/relationships/ctrlProp" Target="../ctrlProps/ctrlProp610.xml"/><Relationship Id="rId68" Type="http://schemas.openxmlformats.org/officeDocument/2006/relationships/ctrlProp" Target="../ctrlProps/ctrlProp615.xml"/><Relationship Id="rId7" Type="http://schemas.openxmlformats.org/officeDocument/2006/relationships/image" Target="../media/image52.emf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563.xml"/><Relationship Id="rId29" Type="http://schemas.openxmlformats.org/officeDocument/2006/relationships/ctrlProp" Target="../ctrlProps/ctrlProp576.xml"/><Relationship Id="rId11" Type="http://schemas.openxmlformats.org/officeDocument/2006/relationships/image" Target="../media/image54.emf"/><Relationship Id="rId24" Type="http://schemas.openxmlformats.org/officeDocument/2006/relationships/ctrlProp" Target="../ctrlProps/ctrlProp571.xml"/><Relationship Id="rId32" Type="http://schemas.openxmlformats.org/officeDocument/2006/relationships/ctrlProp" Target="../ctrlProps/ctrlProp579.xml"/><Relationship Id="rId37" Type="http://schemas.openxmlformats.org/officeDocument/2006/relationships/ctrlProp" Target="../ctrlProps/ctrlProp584.xml"/><Relationship Id="rId40" Type="http://schemas.openxmlformats.org/officeDocument/2006/relationships/ctrlProp" Target="../ctrlProps/ctrlProp587.xml"/><Relationship Id="rId45" Type="http://schemas.openxmlformats.org/officeDocument/2006/relationships/ctrlProp" Target="../ctrlProps/ctrlProp592.xml"/><Relationship Id="rId53" Type="http://schemas.openxmlformats.org/officeDocument/2006/relationships/ctrlProp" Target="../ctrlProps/ctrlProp600.xml"/><Relationship Id="rId58" Type="http://schemas.openxmlformats.org/officeDocument/2006/relationships/ctrlProp" Target="../ctrlProps/ctrlProp605.xml"/><Relationship Id="rId66" Type="http://schemas.openxmlformats.org/officeDocument/2006/relationships/ctrlProp" Target="../ctrlProps/ctrlProp613.xml"/><Relationship Id="rId5" Type="http://schemas.openxmlformats.org/officeDocument/2006/relationships/image" Target="../media/image51.emf"/><Relationship Id="rId61" Type="http://schemas.openxmlformats.org/officeDocument/2006/relationships/ctrlProp" Target="../ctrlProps/ctrlProp608.xml"/><Relationship Id="rId19" Type="http://schemas.openxmlformats.org/officeDocument/2006/relationships/ctrlProp" Target="../ctrlProps/ctrlProp566.xml"/><Relationship Id="rId14" Type="http://schemas.openxmlformats.org/officeDocument/2006/relationships/ctrlProp" Target="../ctrlProps/ctrlProp561.xml"/><Relationship Id="rId22" Type="http://schemas.openxmlformats.org/officeDocument/2006/relationships/ctrlProp" Target="../ctrlProps/ctrlProp569.xml"/><Relationship Id="rId27" Type="http://schemas.openxmlformats.org/officeDocument/2006/relationships/ctrlProp" Target="../ctrlProps/ctrlProp574.xml"/><Relationship Id="rId30" Type="http://schemas.openxmlformats.org/officeDocument/2006/relationships/ctrlProp" Target="../ctrlProps/ctrlProp577.xml"/><Relationship Id="rId35" Type="http://schemas.openxmlformats.org/officeDocument/2006/relationships/ctrlProp" Target="../ctrlProps/ctrlProp582.xml"/><Relationship Id="rId43" Type="http://schemas.openxmlformats.org/officeDocument/2006/relationships/ctrlProp" Target="../ctrlProps/ctrlProp590.xml"/><Relationship Id="rId48" Type="http://schemas.openxmlformats.org/officeDocument/2006/relationships/ctrlProp" Target="../ctrlProps/ctrlProp595.xml"/><Relationship Id="rId56" Type="http://schemas.openxmlformats.org/officeDocument/2006/relationships/ctrlProp" Target="../ctrlProps/ctrlProp603.xml"/><Relationship Id="rId64" Type="http://schemas.openxmlformats.org/officeDocument/2006/relationships/ctrlProp" Target="../ctrlProps/ctrlProp611.xml"/><Relationship Id="rId69" Type="http://schemas.openxmlformats.org/officeDocument/2006/relationships/ctrlProp" Target="../ctrlProps/ctrlProp616.xml"/><Relationship Id="rId8" Type="http://schemas.openxmlformats.org/officeDocument/2006/relationships/control" Target="../activeX/activeX53.xml"/><Relationship Id="rId51" Type="http://schemas.openxmlformats.org/officeDocument/2006/relationships/ctrlProp" Target="../ctrlProps/ctrlProp598.xml"/><Relationship Id="rId3" Type="http://schemas.openxmlformats.org/officeDocument/2006/relationships/vmlDrawing" Target="../drawings/vmlDrawing11.vml"/><Relationship Id="rId12" Type="http://schemas.openxmlformats.org/officeDocument/2006/relationships/control" Target="../activeX/activeX55.xml"/><Relationship Id="rId17" Type="http://schemas.openxmlformats.org/officeDocument/2006/relationships/ctrlProp" Target="../ctrlProps/ctrlProp564.xml"/><Relationship Id="rId25" Type="http://schemas.openxmlformats.org/officeDocument/2006/relationships/ctrlProp" Target="../ctrlProps/ctrlProp572.xml"/><Relationship Id="rId33" Type="http://schemas.openxmlformats.org/officeDocument/2006/relationships/ctrlProp" Target="../ctrlProps/ctrlProp580.xml"/><Relationship Id="rId38" Type="http://schemas.openxmlformats.org/officeDocument/2006/relationships/ctrlProp" Target="../ctrlProps/ctrlProp585.xml"/><Relationship Id="rId46" Type="http://schemas.openxmlformats.org/officeDocument/2006/relationships/ctrlProp" Target="../ctrlProps/ctrlProp593.xml"/><Relationship Id="rId59" Type="http://schemas.openxmlformats.org/officeDocument/2006/relationships/ctrlProp" Target="../ctrlProps/ctrlProp606.xml"/><Relationship Id="rId67" Type="http://schemas.openxmlformats.org/officeDocument/2006/relationships/ctrlProp" Target="../ctrlProps/ctrlProp614.xml"/><Relationship Id="rId20" Type="http://schemas.openxmlformats.org/officeDocument/2006/relationships/ctrlProp" Target="../ctrlProps/ctrlProp567.xml"/><Relationship Id="rId41" Type="http://schemas.openxmlformats.org/officeDocument/2006/relationships/ctrlProp" Target="../ctrlProps/ctrlProp588.xml"/><Relationship Id="rId54" Type="http://schemas.openxmlformats.org/officeDocument/2006/relationships/ctrlProp" Target="../ctrlProps/ctrlProp601.xml"/><Relationship Id="rId62" Type="http://schemas.openxmlformats.org/officeDocument/2006/relationships/ctrlProp" Target="../ctrlProps/ctrlProp609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5" Type="http://schemas.openxmlformats.org/officeDocument/2006/relationships/ctrlProp" Target="../ctrlProps/ctrlProp562.xml"/><Relationship Id="rId23" Type="http://schemas.openxmlformats.org/officeDocument/2006/relationships/ctrlProp" Target="../ctrlProps/ctrlProp570.xml"/><Relationship Id="rId28" Type="http://schemas.openxmlformats.org/officeDocument/2006/relationships/ctrlProp" Target="../ctrlProps/ctrlProp575.xml"/><Relationship Id="rId36" Type="http://schemas.openxmlformats.org/officeDocument/2006/relationships/ctrlProp" Target="../ctrlProps/ctrlProp583.xml"/><Relationship Id="rId49" Type="http://schemas.openxmlformats.org/officeDocument/2006/relationships/ctrlProp" Target="../ctrlProps/ctrlProp596.xml"/><Relationship Id="rId57" Type="http://schemas.openxmlformats.org/officeDocument/2006/relationships/ctrlProp" Target="../ctrlProps/ctrlProp604.xml"/><Relationship Id="rId10" Type="http://schemas.openxmlformats.org/officeDocument/2006/relationships/control" Target="../activeX/activeX54.xml"/><Relationship Id="rId31" Type="http://schemas.openxmlformats.org/officeDocument/2006/relationships/ctrlProp" Target="../ctrlProps/ctrlProp578.xml"/><Relationship Id="rId44" Type="http://schemas.openxmlformats.org/officeDocument/2006/relationships/ctrlProp" Target="../ctrlProps/ctrlProp591.xml"/><Relationship Id="rId52" Type="http://schemas.openxmlformats.org/officeDocument/2006/relationships/ctrlProp" Target="../ctrlProps/ctrlProp599.xml"/><Relationship Id="rId60" Type="http://schemas.openxmlformats.org/officeDocument/2006/relationships/ctrlProp" Target="../ctrlProps/ctrlProp607.xml"/><Relationship Id="rId65" Type="http://schemas.openxmlformats.org/officeDocument/2006/relationships/ctrlProp" Target="../ctrlProps/ctrlProp612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3" Type="http://schemas.openxmlformats.org/officeDocument/2006/relationships/image" Target="../media/image55.emf"/><Relationship Id="rId18" Type="http://schemas.openxmlformats.org/officeDocument/2006/relationships/ctrlProp" Target="../ctrlProps/ctrlProp565.xml"/><Relationship Id="rId39" Type="http://schemas.openxmlformats.org/officeDocument/2006/relationships/ctrlProp" Target="../ctrlProps/ctrlProp586.xml"/><Relationship Id="rId34" Type="http://schemas.openxmlformats.org/officeDocument/2006/relationships/ctrlProp" Target="../ctrlProps/ctrlProp581.xml"/><Relationship Id="rId50" Type="http://schemas.openxmlformats.org/officeDocument/2006/relationships/ctrlProp" Target="../ctrlProps/ctrlProp597.xml"/><Relationship Id="rId55" Type="http://schemas.openxmlformats.org/officeDocument/2006/relationships/ctrlProp" Target="../ctrlProps/ctrlProp602.xml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29.xml"/><Relationship Id="rId21" Type="http://schemas.openxmlformats.org/officeDocument/2006/relationships/ctrlProp" Target="../ctrlProps/ctrlProp624.xml"/><Relationship Id="rId42" Type="http://schemas.openxmlformats.org/officeDocument/2006/relationships/ctrlProp" Target="../ctrlProps/ctrlProp645.xml"/><Relationship Id="rId47" Type="http://schemas.openxmlformats.org/officeDocument/2006/relationships/ctrlProp" Target="../ctrlProps/ctrlProp650.xml"/><Relationship Id="rId63" Type="http://schemas.openxmlformats.org/officeDocument/2006/relationships/ctrlProp" Target="../ctrlProps/ctrlProp666.xml"/><Relationship Id="rId68" Type="http://schemas.openxmlformats.org/officeDocument/2006/relationships/ctrlProp" Target="../ctrlProps/ctrlProp671.xml"/><Relationship Id="rId7" Type="http://schemas.openxmlformats.org/officeDocument/2006/relationships/image" Target="../media/image57.emf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619.xml"/><Relationship Id="rId29" Type="http://schemas.openxmlformats.org/officeDocument/2006/relationships/ctrlProp" Target="../ctrlProps/ctrlProp632.xml"/><Relationship Id="rId11" Type="http://schemas.openxmlformats.org/officeDocument/2006/relationships/image" Target="../media/image59.emf"/><Relationship Id="rId24" Type="http://schemas.openxmlformats.org/officeDocument/2006/relationships/ctrlProp" Target="../ctrlProps/ctrlProp627.xml"/><Relationship Id="rId32" Type="http://schemas.openxmlformats.org/officeDocument/2006/relationships/ctrlProp" Target="../ctrlProps/ctrlProp635.xml"/><Relationship Id="rId37" Type="http://schemas.openxmlformats.org/officeDocument/2006/relationships/ctrlProp" Target="../ctrlProps/ctrlProp640.xml"/><Relationship Id="rId40" Type="http://schemas.openxmlformats.org/officeDocument/2006/relationships/ctrlProp" Target="../ctrlProps/ctrlProp643.xml"/><Relationship Id="rId45" Type="http://schemas.openxmlformats.org/officeDocument/2006/relationships/ctrlProp" Target="../ctrlProps/ctrlProp648.xml"/><Relationship Id="rId53" Type="http://schemas.openxmlformats.org/officeDocument/2006/relationships/ctrlProp" Target="../ctrlProps/ctrlProp656.xml"/><Relationship Id="rId58" Type="http://schemas.openxmlformats.org/officeDocument/2006/relationships/ctrlProp" Target="../ctrlProps/ctrlProp661.xml"/><Relationship Id="rId66" Type="http://schemas.openxmlformats.org/officeDocument/2006/relationships/ctrlProp" Target="../ctrlProps/ctrlProp669.xml"/><Relationship Id="rId5" Type="http://schemas.openxmlformats.org/officeDocument/2006/relationships/image" Target="../media/image56.emf"/><Relationship Id="rId61" Type="http://schemas.openxmlformats.org/officeDocument/2006/relationships/ctrlProp" Target="../ctrlProps/ctrlProp664.xml"/><Relationship Id="rId19" Type="http://schemas.openxmlformats.org/officeDocument/2006/relationships/ctrlProp" Target="../ctrlProps/ctrlProp622.xml"/><Relationship Id="rId14" Type="http://schemas.openxmlformats.org/officeDocument/2006/relationships/ctrlProp" Target="../ctrlProps/ctrlProp617.xml"/><Relationship Id="rId22" Type="http://schemas.openxmlformats.org/officeDocument/2006/relationships/ctrlProp" Target="../ctrlProps/ctrlProp625.xml"/><Relationship Id="rId27" Type="http://schemas.openxmlformats.org/officeDocument/2006/relationships/ctrlProp" Target="../ctrlProps/ctrlProp630.xml"/><Relationship Id="rId30" Type="http://schemas.openxmlformats.org/officeDocument/2006/relationships/ctrlProp" Target="../ctrlProps/ctrlProp633.xml"/><Relationship Id="rId35" Type="http://schemas.openxmlformats.org/officeDocument/2006/relationships/ctrlProp" Target="../ctrlProps/ctrlProp638.xml"/><Relationship Id="rId43" Type="http://schemas.openxmlformats.org/officeDocument/2006/relationships/ctrlProp" Target="../ctrlProps/ctrlProp646.xml"/><Relationship Id="rId48" Type="http://schemas.openxmlformats.org/officeDocument/2006/relationships/ctrlProp" Target="../ctrlProps/ctrlProp651.xml"/><Relationship Id="rId56" Type="http://schemas.openxmlformats.org/officeDocument/2006/relationships/ctrlProp" Target="../ctrlProps/ctrlProp659.xml"/><Relationship Id="rId64" Type="http://schemas.openxmlformats.org/officeDocument/2006/relationships/ctrlProp" Target="../ctrlProps/ctrlProp667.xml"/><Relationship Id="rId69" Type="http://schemas.openxmlformats.org/officeDocument/2006/relationships/ctrlProp" Target="../ctrlProps/ctrlProp672.xml"/><Relationship Id="rId8" Type="http://schemas.openxmlformats.org/officeDocument/2006/relationships/control" Target="../activeX/activeX58.xml"/><Relationship Id="rId51" Type="http://schemas.openxmlformats.org/officeDocument/2006/relationships/ctrlProp" Target="../ctrlProps/ctrlProp654.xml"/><Relationship Id="rId3" Type="http://schemas.openxmlformats.org/officeDocument/2006/relationships/vmlDrawing" Target="../drawings/vmlDrawing12.vml"/><Relationship Id="rId12" Type="http://schemas.openxmlformats.org/officeDocument/2006/relationships/control" Target="../activeX/activeX60.xml"/><Relationship Id="rId17" Type="http://schemas.openxmlformats.org/officeDocument/2006/relationships/ctrlProp" Target="../ctrlProps/ctrlProp620.xml"/><Relationship Id="rId25" Type="http://schemas.openxmlformats.org/officeDocument/2006/relationships/ctrlProp" Target="../ctrlProps/ctrlProp628.xml"/><Relationship Id="rId33" Type="http://schemas.openxmlformats.org/officeDocument/2006/relationships/ctrlProp" Target="../ctrlProps/ctrlProp636.xml"/><Relationship Id="rId38" Type="http://schemas.openxmlformats.org/officeDocument/2006/relationships/ctrlProp" Target="../ctrlProps/ctrlProp641.xml"/><Relationship Id="rId46" Type="http://schemas.openxmlformats.org/officeDocument/2006/relationships/ctrlProp" Target="../ctrlProps/ctrlProp649.xml"/><Relationship Id="rId59" Type="http://schemas.openxmlformats.org/officeDocument/2006/relationships/ctrlProp" Target="../ctrlProps/ctrlProp662.xml"/><Relationship Id="rId67" Type="http://schemas.openxmlformats.org/officeDocument/2006/relationships/ctrlProp" Target="../ctrlProps/ctrlProp670.xml"/><Relationship Id="rId20" Type="http://schemas.openxmlformats.org/officeDocument/2006/relationships/ctrlProp" Target="../ctrlProps/ctrlProp623.xml"/><Relationship Id="rId41" Type="http://schemas.openxmlformats.org/officeDocument/2006/relationships/ctrlProp" Target="../ctrlProps/ctrlProp644.xml"/><Relationship Id="rId54" Type="http://schemas.openxmlformats.org/officeDocument/2006/relationships/ctrlProp" Target="../ctrlProps/ctrlProp657.xml"/><Relationship Id="rId62" Type="http://schemas.openxmlformats.org/officeDocument/2006/relationships/ctrlProp" Target="../ctrlProps/ctrlProp66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5" Type="http://schemas.openxmlformats.org/officeDocument/2006/relationships/ctrlProp" Target="../ctrlProps/ctrlProp618.xml"/><Relationship Id="rId23" Type="http://schemas.openxmlformats.org/officeDocument/2006/relationships/ctrlProp" Target="../ctrlProps/ctrlProp626.xml"/><Relationship Id="rId28" Type="http://schemas.openxmlformats.org/officeDocument/2006/relationships/ctrlProp" Target="../ctrlProps/ctrlProp631.xml"/><Relationship Id="rId36" Type="http://schemas.openxmlformats.org/officeDocument/2006/relationships/ctrlProp" Target="../ctrlProps/ctrlProp639.xml"/><Relationship Id="rId49" Type="http://schemas.openxmlformats.org/officeDocument/2006/relationships/ctrlProp" Target="../ctrlProps/ctrlProp652.xml"/><Relationship Id="rId57" Type="http://schemas.openxmlformats.org/officeDocument/2006/relationships/ctrlProp" Target="../ctrlProps/ctrlProp660.xml"/><Relationship Id="rId10" Type="http://schemas.openxmlformats.org/officeDocument/2006/relationships/control" Target="../activeX/activeX59.xml"/><Relationship Id="rId31" Type="http://schemas.openxmlformats.org/officeDocument/2006/relationships/ctrlProp" Target="../ctrlProps/ctrlProp634.xml"/><Relationship Id="rId44" Type="http://schemas.openxmlformats.org/officeDocument/2006/relationships/ctrlProp" Target="../ctrlProps/ctrlProp647.xml"/><Relationship Id="rId52" Type="http://schemas.openxmlformats.org/officeDocument/2006/relationships/ctrlProp" Target="../ctrlProps/ctrlProp655.xml"/><Relationship Id="rId60" Type="http://schemas.openxmlformats.org/officeDocument/2006/relationships/ctrlProp" Target="../ctrlProps/ctrlProp663.xml"/><Relationship Id="rId65" Type="http://schemas.openxmlformats.org/officeDocument/2006/relationships/ctrlProp" Target="../ctrlProps/ctrlProp668.xml"/><Relationship Id="rId4" Type="http://schemas.openxmlformats.org/officeDocument/2006/relationships/control" Target="../activeX/activeX56.xml"/><Relationship Id="rId9" Type="http://schemas.openxmlformats.org/officeDocument/2006/relationships/image" Target="../media/image58.emf"/><Relationship Id="rId13" Type="http://schemas.openxmlformats.org/officeDocument/2006/relationships/image" Target="../media/image60.emf"/><Relationship Id="rId18" Type="http://schemas.openxmlformats.org/officeDocument/2006/relationships/ctrlProp" Target="../ctrlProps/ctrlProp621.xml"/><Relationship Id="rId39" Type="http://schemas.openxmlformats.org/officeDocument/2006/relationships/ctrlProp" Target="../ctrlProps/ctrlProp642.xml"/><Relationship Id="rId34" Type="http://schemas.openxmlformats.org/officeDocument/2006/relationships/ctrlProp" Target="../ctrlProps/ctrlProp637.xml"/><Relationship Id="rId50" Type="http://schemas.openxmlformats.org/officeDocument/2006/relationships/ctrlProp" Target="../ctrlProps/ctrlProp653.xml"/><Relationship Id="rId55" Type="http://schemas.openxmlformats.org/officeDocument/2006/relationships/ctrlProp" Target="../ctrlProps/ctrlProp65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9"/>
  <sheetViews>
    <sheetView workbookViewId="0">
      <selection activeCell="E9" sqref="E9"/>
    </sheetView>
  </sheetViews>
  <sheetFormatPr defaultRowHeight="13.5" x14ac:dyDescent="0.15"/>
  <cols>
    <col min="1" max="1" width="9" style="50"/>
    <col min="2" max="2" width="9.125" style="50" bestFit="1" customWidth="1"/>
    <col min="3" max="3" width="9.5" style="50" bestFit="1" customWidth="1"/>
    <col min="4" max="4" width="9.125" style="50" bestFit="1" customWidth="1"/>
    <col min="5" max="5" width="9" style="50"/>
    <col min="6" max="7" width="0" style="49" hidden="1" customWidth="1"/>
    <col min="8" max="9" width="9" style="49"/>
    <col min="10" max="10" width="15" style="49" bestFit="1" customWidth="1"/>
    <col min="11" max="16384" width="9" style="49"/>
  </cols>
  <sheetData>
    <row r="1" spans="1:10" x14ac:dyDescent="0.15">
      <c r="A1" s="52"/>
      <c r="B1" s="61" t="s">
        <v>145</v>
      </c>
      <c r="C1" s="62"/>
      <c r="D1" s="58" t="s">
        <v>141</v>
      </c>
      <c r="E1" s="59"/>
      <c r="F1" s="60" t="s">
        <v>142</v>
      </c>
      <c r="G1" s="60"/>
      <c r="H1" s="60" t="s">
        <v>143</v>
      </c>
      <c r="I1" s="60"/>
      <c r="J1" s="60"/>
    </row>
    <row r="2" spans="1:10" x14ac:dyDescent="0.15">
      <c r="A2" s="52" t="s">
        <v>146</v>
      </c>
      <c r="B2" s="52" t="s">
        <v>103</v>
      </c>
      <c r="C2" s="52" t="s">
        <v>104</v>
      </c>
      <c r="D2" s="52" t="s">
        <v>139</v>
      </c>
      <c r="E2" s="52" t="s">
        <v>140</v>
      </c>
      <c r="F2" s="52" t="s">
        <v>139</v>
      </c>
      <c r="G2" s="52" t="s">
        <v>140</v>
      </c>
      <c r="H2" s="52" t="s">
        <v>103</v>
      </c>
      <c r="I2" s="52" t="s">
        <v>104</v>
      </c>
      <c r="J2" s="55" t="s">
        <v>144</v>
      </c>
    </row>
    <row r="3" spans="1:10" x14ac:dyDescent="0.15">
      <c r="A3" s="52" t="s">
        <v>105</v>
      </c>
      <c r="B3" s="56">
        <f>'B1 PRX'!A12</f>
        <v>-98.714574719691228</v>
      </c>
      <c r="C3" s="56">
        <f>'B1 DRX'!A12</f>
        <v>-99.664574719691231</v>
      </c>
      <c r="D3" s="53">
        <v>0.45</v>
      </c>
      <c r="E3" s="53">
        <v>0.4</v>
      </c>
      <c r="F3" s="57">
        <f t="shared" ref="F3:G6" si="0">10*LOG(D3)</f>
        <v>-3.4678748622465632</v>
      </c>
      <c r="G3" s="57">
        <f t="shared" si="0"/>
        <v>-3.9794000867203758</v>
      </c>
      <c r="H3" s="57">
        <f t="shared" ref="H3:I8" si="1">B3-F3</f>
        <v>-95.246699857444668</v>
      </c>
      <c r="I3" s="57">
        <f t="shared" si="1"/>
        <v>-95.685174632970856</v>
      </c>
      <c r="J3" s="54">
        <f>-10*LOG(10^(-H3/10)+10^(-I3/10))</f>
        <v>-98.481768544469261</v>
      </c>
    </row>
    <row r="4" spans="1:10" x14ac:dyDescent="0.15">
      <c r="A4" s="52" t="s">
        <v>106</v>
      </c>
      <c r="B4" s="56">
        <f>'B3 PRX'!A12</f>
        <v>-98.114574719691234</v>
      </c>
      <c r="C4" s="56">
        <f>'B3 DRX'!A12</f>
        <v>-99.564574719691237</v>
      </c>
      <c r="D4" s="53">
        <v>0.45</v>
      </c>
      <c r="E4" s="53">
        <v>0.4</v>
      </c>
      <c r="F4" s="57">
        <f t="shared" si="0"/>
        <v>-3.4678748622465632</v>
      </c>
      <c r="G4" s="57">
        <f t="shared" si="0"/>
        <v>-3.9794000867203758</v>
      </c>
      <c r="H4" s="57">
        <f t="shared" si="1"/>
        <v>-94.646699857444673</v>
      </c>
      <c r="I4" s="57">
        <f t="shared" si="1"/>
        <v>-95.585174632970862</v>
      </c>
      <c r="J4" s="54">
        <f t="shared" ref="J4:J8" si="2">-10*LOG(10^(-H4/10)+10^(-I4/10))</f>
        <v>-98.151537621617067</v>
      </c>
    </row>
    <row r="5" spans="1:10" x14ac:dyDescent="0.15">
      <c r="A5" s="52" t="s">
        <v>115</v>
      </c>
      <c r="B5" s="56">
        <f>'B7 PRX'!A12</f>
        <v>-98.01457471969124</v>
      </c>
      <c r="C5" s="56">
        <f>'B7 DRX'!A12</f>
        <v>-100.92976758737601</v>
      </c>
      <c r="D5" s="53">
        <v>0.45</v>
      </c>
      <c r="E5" s="53">
        <v>0.4</v>
      </c>
      <c r="F5" s="57">
        <f t="shared" si="0"/>
        <v>-3.4678748622465632</v>
      </c>
      <c r="G5" s="57">
        <f t="shared" si="0"/>
        <v>-3.9794000867203758</v>
      </c>
      <c r="H5" s="57">
        <f t="shared" si="1"/>
        <v>-94.546699857444679</v>
      </c>
      <c r="I5" s="57">
        <f t="shared" si="1"/>
        <v>-96.950367500655631</v>
      </c>
      <c r="J5" s="54">
        <f t="shared" si="2"/>
        <v>-98.923046734751665</v>
      </c>
    </row>
    <row r="6" spans="1:10" x14ac:dyDescent="0.15">
      <c r="A6" s="52" t="s">
        <v>107</v>
      </c>
      <c r="B6" s="56">
        <f>'B8 PRX'!A12</f>
        <v>-99.214574719691228</v>
      </c>
      <c r="C6" s="56">
        <f>'B8 DRX'!A12</f>
        <v>-100.13457471969123</v>
      </c>
      <c r="D6" s="53">
        <v>0.35</v>
      </c>
      <c r="E6" s="53">
        <v>0.3</v>
      </c>
      <c r="F6" s="57">
        <f t="shared" si="0"/>
        <v>-4.5593195564972442</v>
      </c>
      <c r="G6" s="57">
        <f t="shared" si="0"/>
        <v>-5.2287874528033758</v>
      </c>
      <c r="H6" s="57">
        <f t="shared" si="1"/>
        <v>-94.655255163193985</v>
      </c>
      <c r="I6" s="57">
        <f t="shared" si="1"/>
        <v>-94.905787266887856</v>
      </c>
      <c r="J6" s="54">
        <f t="shared" si="2"/>
        <v>-97.792627481582002</v>
      </c>
    </row>
    <row r="7" spans="1:10" x14ac:dyDescent="0.15">
      <c r="A7" s="52" t="s">
        <v>138</v>
      </c>
      <c r="B7" s="56">
        <f>'B20 PRX'!A12</f>
        <v>-99.01457471969124</v>
      </c>
      <c r="C7" s="56">
        <f>'B20 DRX'!A12</f>
        <v>-99.934574719691241</v>
      </c>
      <c r="D7" s="53">
        <v>0.35</v>
      </c>
      <c r="E7" s="53">
        <v>0.3</v>
      </c>
      <c r="F7" s="57">
        <f>10*LOG(D7)</f>
        <v>-4.5593195564972442</v>
      </c>
      <c r="G7" s="57">
        <f>10*LOG(E7)</f>
        <v>-5.2287874528033758</v>
      </c>
      <c r="H7" s="57">
        <f t="shared" si="1"/>
        <v>-94.455255163193996</v>
      </c>
      <c r="I7" s="57">
        <f t="shared" si="1"/>
        <v>-94.705787266887867</v>
      </c>
      <c r="J7" s="54">
        <f t="shared" si="2"/>
        <v>-97.592627481581999</v>
      </c>
    </row>
    <row r="8" spans="1:10" x14ac:dyDescent="0.15">
      <c r="A8" s="52" t="s">
        <v>108</v>
      </c>
      <c r="B8" s="56">
        <f>'B38 PRX'!A12</f>
        <v>-98.614574719691234</v>
      </c>
      <c r="C8" s="56">
        <f>'B38 DRX'!A12</f>
        <v>-101.229767587376</v>
      </c>
      <c r="D8" s="53">
        <v>0.45</v>
      </c>
      <c r="E8" s="53">
        <v>0.4</v>
      </c>
      <c r="F8" s="57">
        <f>10*LOG(D8)</f>
        <v>-3.4678748622465632</v>
      </c>
      <c r="G8" s="57">
        <f>10*LOG(E8)</f>
        <v>-3.9794000867203758</v>
      </c>
      <c r="H8" s="57">
        <f t="shared" si="1"/>
        <v>-95.146699857444673</v>
      </c>
      <c r="I8" s="57">
        <f t="shared" si="1"/>
        <v>-97.250367500655628</v>
      </c>
      <c r="J8" s="54">
        <f t="shared" si="2"/>
        <v>-99.334981285930041</v>
      </c>
    </row>
    <row r="9" spans="1:10" x14ac:dyDescent="0.15">
      <c r="A9" s="51"/>
    </row>
  </sheetData>
  <mergeCells count="4">
    <mergeCell ref="D1:E1"/>
    <mergeCell ref="F1:G1"/>
    <mergeCell ref="H1:J1"/>
    <mergeCell ref="B1:C1"/>
  </mergeCells>
  <phoneticPr fontId="1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Y39"/>
  <sheetViews>
    <sheetView showGridLines="0" zoomScale="106" zoomScaleNormal="106" workbookViewId="0">
      <pane xSplit="3" topLeftCell="D1" activePane="topRight" state="frozen"/>
      <selection pane="topRight" activeCell="D7" sqref="D7"/>
    </sheetView>
  </sheetViews>
  <sheetFormatPr defaultRowHeight="16.5" x14ac:dyDescent="0.15"/>
  <cols>
    <col min="1" max="1" width="9" style="2"/>
    <col min="2" max="2" width="16.75" style="2" customWidth="1"/>
    <col min="3" max="3" width="6" style="2" bestFit="1" customWidth="1"/>
    <col min="4" max="4" width="19.375" style="2" customWidth="1"/>
    <col min="5" max="5" width="23.5" style="2" bestFit="1" customWidth="1"/>
    <col min="6" max="6" width="20.125" style="2" bestFit="1" customWidth="1"/>
    <col min="7" max="7" width="22.5" style="2" customWidth="1"/>
    <col min="8" max="18" width="12.625" style="2" customWidth="1"/>
    <col min="19" max="16384" width="9" style="2"/>
  </cols>
  <sheetData>
    <row r="1" spans="1:25" ht="45.75" customHeight="1" x14ac:dyDescent="0.15">
      <c r="A1" s="6"/>
      <c r="B1" s="63" t="s">
        <v>61</v>
      </c>
      <c r="C1" s="63"/>
      <c r="D1" s="6"/>
      <c r="E1" s="44"/>
      <c r="F1" s="44"/>
      <c r="G1" s="44"/>
      <c r="H1" s="44"/>
      <c r="I1" s="44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</row>
    <row r="2" spans="1:25" ht="16.5" customHeight="1" x14ac:dyDescent="0.15">
      <c r="A2" s="44"/>
      <c r="B2" s="63"/>
      <c r="C2" s="63"/>
      <c r="D2" s="6">
        <f>数据源!J5</f>
        <v>0</v>
      </c>
      <c r="E2" s="6"/>
      <c r="F2" s="6"/>
      <c r="G2" s="6"/>
      <c r="H2" s="44"/>
      <c r="I2" s="44"/>
      <c r="J2" s="44"/>
      <c r="K2" s="44"/>
      <c r="L2" s="6"/>
      <c r="M2" s="6"/>
      <c r="N2" s="6"/>
      <c r="O2" s="6"/>
      <c r="P2" s="6"/>
      <c r="Q2" s="6"/>
      <c r="R2" s="6"/>
      <c r="S2" s="6"/>
      <c r="T2" s="6"/>
      <c r="U2" s="6"/>
      <c r="V2" s="6"/>
    </row>
    <row r="3" spans="1:25" ht="16.5" customHeight="1" x14ac:dyDescent="0.15">
      <c r="A3" s="44"/>
      <c r="B3" s="64"/>
      <c r="C3" s="64"/>
      <c r="D3" s="25">
        <v>1</v>
      </c>
      <c r="E3" s="25">
        <v>2</v>
      </c>
      <c r="F3" s="25">
        <v>3</v>
      </c>
      <c r="G3" s="25">
        <v>4</v>
      </c>
      <c r="H3" s="25">
        <v>5</v>
      </c>
      <c r="I3" s="25">
        <v>6</v>
      </c>
      <c r="J3" s="25">
        <v>7</v>
      </c>
      <c r="K3" s="25">
        <v>8</v>
      </c>
      <c r="L3" s="25">
        <v>9</v>
      </c>
      <c r="M3" s="25">
        <v>10</v>
      </c>
      <c r="N3" s="25">
        <v>11</v>
      </c>
      <c r="O3" s="25">
        <v>12</v>
      </c>
      <c r="P3" s="25">
        <v>13</v>
      </c>
      <c r="Q3" s="25">
        <v>14</v>
      </c>
      <c r="R3" s="25">
        <v>15</v>
      </c>
      <c r="S3" s="6"/>
      <c r="T3" s="6"/>
      <c r="U3" s="6"/>
      <c r="V3" s="44"/>
      <c r="W3" s="44"/>
      <c r="X3" s="44"/>
      <c r="Y3" s="44"/>
    </row>
    <row r="4" spans="1:25" x14ac:dyDescent="0.15">
      <c r="A4" s="44"/>
      <c r="B4" s="25"/>
      <c r="C4" s="28" t="b">
        <v>1</v>
      </c>
      <c r="D4" s="23" t="b">
        <v>1</v>
      </c>
      <c r="E4" s="24" t="b">
        <v>1</v>
      </c>
      <c r="F4" s="24" t="b">
        <v>1</v>
      </c>
      <c r="G4" s="24" t="b">
        <v>1</v>
      </c>
      <c r="H4" s="24" t="b">
        <v>0</v>
      </c>
      <c r="I4" s="24" t="b">
        <v>0</v>
      </c>
      <c r="J4" s="24" t="b">
        <v>0</v>
      </c>
      <c r="K4" s="24" t="b">
        <v>0</v>
      </c>
      <c r="L4" s="24" t="b">
        <v>0</v>
      </c>
      <c r="M4" s="24" t="b">
        <v>0</v>
      </c>
      <c r="N4" s="24" t="b">
        <v>0</v>
      </c>
      <c r="O4" s="24" t="b">
        <v>0</v>
      </c>
      <c r="P4" s="24" t="b">
        <v>0</v>
      </c>
      <c r="Q4" s="24" t="b">
        <v>0</v>
      </c>
      <c r="R4" s="24" t="b">
        <v>0</v>
      </c>
      <c r="S4" s="44"/>
      <c r="T4" s="44"/>
      <c r="U4" s="44"/>
      <c r="V4" s="44"/>
      <c r="W4" s="44"/>
      <c r="X4" s="44"/>
      <c r="Y4" s="44"/>
    </row>
    <row r="5" spans="1:25" s="4" customFormat="1" x14ac:dyDescent="0.15">
      <c r="A5" s="44"/>
      <c r="B5" s="25" t="s">
        <v>24</v>
      </c>
      <c r="C5" s="26"/>
      <c r="D5" s="21" t="s">
        <v>80</v>
      </c>
      <c r="E5" s="21" t="s">
        <v>74</v>
      </c>
      <c r="F5" s="21" t="s">
        <v>101</v>
      </c>
      <c r="G5" s="21" t="s">
        <v>132</v>
      </c>
      <c r="H5" s="21" t="s">
        <v>135</v>
      </c>
      <c r="I5" s="21" t="s">
        <v>109</v>
      </c>
      <c r="J5" s="21" t="s">
        <v>112</v>
      </c>
      <c r="K5" s="21" t="s">
        <v>77</v>
      </c>
      <c r="L5" s="21" t="s">
        <v>29</v>
      </c>
      <c r="M5" s="21" t="s">
        <v>30</v>
      </c>
      <c r="N5" s="21" t="s">
        <v>30</v>
      </c>
      <c r="O5" s="21" t="s">
        <v>63</v>
      </c>
      <c r="P5" s="21" t="s">
        <v>31</v>
      </c>
      <c r="Q5" s="21" t="s">
        <v>29</v>
      </c>
      <c r="R5" s="21" t="s">
        <v>29</v>
      </c>
      <c r="S5" s="44"/>
      <c r="T5" s="44"/>
      <c r="U5" s="44"/>
      <c r="V5" s="44"/>
      <c r="W5" s="44"/>
      <c r="X5" s="44"/>
      <c r="Y5" s="44"/>
    </row>
    <row r="6" spans="1:25" s="4" customFormat="1" ht="21.75" customHeight="1" x14ac:dyDescent="0.15">
      <c r="A6" s="44"/>
      <c r="B6" s="27" t="s">
        <v>0</v>
      </c>
      <c r="C6" s="26"/>
      <c r="D6" s="45" t="s">
        <v>120</v>
      </c>
      <c r="E6" s="45" t="s">
        <v>81</v>
      </c>
      <c r="F6" s="45" t="s">
        <v>98</v>
      </c>
      <c r="G6" s="45" t="s">
        <v>134</v>
      </c>
      <c r="H6" s="45" t="s">
        <v>136</v>
      </c>
      <c r="I6" s="45" t="s">
        <v>110</v>
      </c>
      <c r="J6" s="45" t="s">
        <v>113</v>
      </c>
      <c r="K6" s="45" t="s">
        <v>78</v>
      </c>
      <c r="L6" s="45" t="s">
        <v>65</v>
      </c>
      <c r="M6" s="45" t="s">
        <v>69</v>
      </c>
      <c r="N6" s="45" t="s">
        <v>66</v>
      </c>
      <c r="O6" s="45" t="s">
        <v>67</v>
      </c>
      <c r="P6" s="45" t="s">
        <v>53</v>
      </c>
      <c r="Q6" s="45" t="s">
        <v>59</v>
      </c>
      <c r="R6" s="45" t="s">
        <v>56</v>
      </c>
      <c r="S6" s="44"/>
      <c r="T6" s="44"/>
      <c r="U6" s="44"/>
      <c r="V6" s="44"/>
      <c r="W6" s="44"/>
      <c r="X6" s="44"/>
      <c r="Y6" s="44"/>
    </row>
    <row r="7" spans="1:25" s="4" customFormat="1" ht="17.25" thickBot="1" x14ac:dyDescent="0.2">
      <c r="A7" s="44"/>
      <c r="B7" s="27" t="s">
        <v>57</v>
      </c>
      <c r="C7" s="28" t="s">
        <v>39</v>
      </c>
      <c r="D7" s="42" t="s">
        <v>122</v>
      </c>
      <c r="E7" s="42" t="s">
        <v>73</v>
      </c>
      <c r="F7" s="42" t="s">
        <v>118</v>
      </c>
      <c r="G7" s="42" t="s">
        <v>133</v>
      </c>
      <c r="H7" s="42" t="s">
        <v>137</v>
      </c>
      <c r="I7" s="42" t="s">
        <v>111</v>
      </c>
      <c r="J7" s="42" t="s">
        <v>114</v>
      </c>
      <c r="K7" s="42" t="s">
        <v>92</v>
      </c>
      <c r="L7" s="42" t="s">
        <v>54</v>
      </c>
      <c r="M7" s="42" t="s">
        <v>64</v>
      </c>
      <c r="N7" s="42" t="s">
        <v>64</v>
      </c>
      <c r="O7" s="42" t="s">
        <v>62</v>
      </c>
      <c r="P7" s="42" t="s">
        <v>62</v>
      </c>
      <c r="Q7" s="42" t="s">
        <v>54</v>
      </c>
      <c r="R7" s="42" t="s">
        <v>54</v>
      </c>
      <c r="S7" s="44"/>
      <c r="T7" s="44"/>
      <c r="U7" s="44"/>
      <c r="V7" s="44"/>
      <c r="W7" s="44"/>
      <c r="X7" s="44"/>
      <c r="Y7" s="44"/>
    </row>
    <row r="8" spans="1:25" ht="17.25" thickTop="1" x14ac:dyDescent="0.15">
      <c r="A8" s="44"/>
      <c r="B8" s="25" t="s">
        <v>58</v>
      </c>
      <c r="C8" s="26" t="s">
        <v>40</v>
      </c>
      <c r="D8" s="15">
        <f>LOOKUP(1,0/((数据源!$A$2:$A$160=D5)*(数据源!$B$2:$B$160=D6)*(数据源!$C$2:$C$160=D7)),数据源!$D$2:$D$160)</f>
        <v>-1.3</v>
      </c>
      <c r="E8" s="15">
        <f>LOOKUP(1,0/((数据源!$A$2:$A$160=E5)*(数据源!$B$2:$B$160=E6)*(数据源!$C$2:$C$160=E7)),数据源!$D$2:$D$160)</f>
        <v>-1.8</v>
      </c>
      <c r="F8" s="15">
        <f>LOOKUP(1,0/((数据源!$A$2:$A$160=F5)*(数据源!$B$2:$B$160=F6)*(数据源!$C$2:$C$160=F7)),数据源!$D$2:$D$160)</f>
        <v>-0.8</v>
      </c>
      <c r="G8" s="15">
        <f>LOOKUP(1,0/((数据源!$A$2:$A$160=G5)*(数据源!$B$2:$B$160=G6)*(数据源!$C$2:$C$160=G7)),数据源!$D$2:$D$160)</f>
        <v>56</v>
      </c>
      <c r="H8" s="15">
        <f>LOOKUP(1,0/((数据源!$A$2:$A$160=H5)*(数据源!$B$2:$B$160=H6)*(数据源!$C$2:$C$160=H7)),数据源!$D$2:$D$160)</f>
        <v>15</v>
      </c>
      <c r="I8" s="15">
        <f>LOOKUP(1,0/((数据源!$A$2:$A$160=I5)*(数据源!$B$2:$B$160=I6)*(数据源!$C$2:$C$160=I7)),数据源!$D$2:$D$160)</f>
        <v>56</v>
      </c>
      <c r="J8" s="15">
        <f>LOOKUP(1,0/((数据源!$A$2:$A$160=J5)*(数据源!$B$2:$B$160=J6)*(数据源!$C$2:$C$160=J7)),数据源!$D$2:$D$160)</f>
        <v>-0.7</v>
      </c>
      <c r="K8" s="15">
        <f>LOOKUP(1,0/((数据源!$A$2:$A$160=K5)*(数据源!$B$2:$B$160=K6)*(数据源!$C$2:$C$160=K7)),数据源!$D$2:$D$160)</f>
        <v>56</v>
      </c>
      <c r="L8" s="15">
        <f>LOOKUP(1,0/((数据源!$A$2:$A$160=L5)*(数据源!$B$2:$B$160=L6)*(数据源!$C$2:$C$160=L7)),数据源!$D$2:$D$160)</f>
        <v>-2</v>
      </c>
      <c r="M8" s="15" t="e">
        <f>LOOKUP(1,0/((数据源!$A$2:$A$160=M5)*(数据源!$B$2:$B$160=M6)*(数据源!$C$2:$C$160=M7)),数据源!$D$2:$D$160)</f>
        <v>#N/A</v>
      </c>
      <c r="N8" s="15" t="e">
        <f>LOOKUP(1,0/((数据源!$A$2:$A$160=N5)*(数据源!$B$2:$B$160=N6)*(数据源!$C$2:$C$160=N7)),数据源!$D$2:$D$160)</f>
        <v>#N/A</v>
      </c>
      <c r="O8" s="15" t="e">
        <f>LOOKUP(1,0/((数据源!$A$2:$A$160=O5)*(数据源!$B$2:$B$160=O6)*(数据源!$C$2:$C$160=O7)),数据源!$D$2:$D$160)</f>
        <v>#N/A</v>
      </c>
      <c r="P8" s="15" t="e">
        <f>LOOKUP(1,0/((数据源!$A$2:$A$160=P5)*(数据源!$B$2:$B$160=P6)*(数据源!$C$2:$C$160=P7)),数据源!$D$2:$D$160)</f>
        <v>#N/A</v>
      </c>
      <c r="Q8" s="15">
        <f>LOOKUP(1,0/((数据源!$A$2:$A$160=Q5)*(数据源!$B$2:$B$160=Q6)*(数据源!$C$2:$C$160=Q7)),数据源!$D$2:$D$160)</f>
        <v>-5</v>
      </c>
      <c r="R8" s="15">
        <f>LOOKUP(1,0/((数据源!$A$2:$A$160=R5)*(数据源!$B$2:$B$160=R6)*(数据源!$C$2:$C$160=R7)),数据源!$D$2:$D$160)</f>
        <v>-8</v>
      </c>
      <c r="S8" s="44"/>
      <c r="T8" s="44"/>
      <c r="U8" s="44"/>
      <c r="V8" s="44"/>
      <c r="W8" s="44"/>
      <c r="X8" s="44"/>
      <c r="Y8" s="44"/>
    </row>
    <row r="9" spans="1:25" x14ac:dyDescent="0.15">
      <c r="A9" s="44"/>
      <c r="B9" s="25" t="s">
        <v>2</v>
      </c>
      <c r="C9" s="26" t="s">
        <v>40</v>
      </c>
      <c r="D9" s="12">
        <f>LOOKUP(1,0/((数据源!$A$2:$A$160=D5)*(数据源!$B$2:$B$160=D6)*(数据源!$C$2:$C$160=D7)),数据源!$E$2:$E$160)</f>
        <v>1.3</v>
      </c>
      <c r="E9" s="12">
        <f>LOOKUP(1,0/((数据源!$A$2:$A$160=E5)*(数据源!$B$2:$B$160=E6)*(数据源!$C$2:$C$160=E7)),数据源!$E$2:$E$160)</f>
        <v>1.8</v>
      </c>
      <c r="F9" s="12">
        <f>LOOKUP(1,0/((数据源!$A$2:$A$160=F5)*(数据源!$B$2:$B$160=F6)*(数据源!$C$2:$C$160=F7)),数据源!$E$2:$E$160)</f>
        <v>0.8</v>
      </c>
      <c r="G9" s="12">
        <f>LOOKUP(1,0/((数据源!$A$2:$A$160=G5)*(数据源!$B$2:$B$160=G6)*(数据源!$C$2:$C$160=G7)),数据源!$E$2:$E$160)</f>
        <v>2.7</v>
      </c>
      <c r="H9" s="12">
        <f>LOOKUP(1,0/((数据源!$A$2:$A$160=H5)*(数据源!$B$2:$B$160=H6)*(数据源!$C$2:$C$160=H7)),数据源!$E$2:$E$160)</f>
        <v>0.7</v>
      </c>
      <c r="I9" s="12">
        <f>LOOKUP(1,0/((数据源!$A$2:$A$160=I5)*(数据源!$B$2:$B$160=I6)*(数据源!$C$2:$C$160=I7)),数据源!$E$2:$E$160)</f>
        <v>2.7</v>
      </c>
      <c r="J9" s="12">
        <f>LOOKUP(1,0/((数据源!$A$2:$A$160=J5)*(数据源!$B$2:$B$160=J6)*(数据源!$C$2:$C$160=J7)),数据源!$E$2:$E$160)</f>
        <v>0.7</v>
      </c>
      <c r="K9" s="12">
        <f>LOOKUP(1,0/((数据源!$A$2:$A$160=K5)*(数据源!$B$2:$B$160=K6)*(数据源!$C$2:$C$160=K7)),数据源!$E$2:$E$160)</f>
        <v>2.7</v>
      </c>
      <c r="L9" s="12">
        <f>LOOKUP(1,0/((数据源!$A$2:$A$160=L5)*(数据源!$B$2:$B$160=L6)*(数据源!$C$2:$C$160=L7)),数据源!$E$2:$E$160)</f>
        <v>2</v>
      </c>
      <c r="M9" s="12" t="e">
        <f>LOOKUP(1,0/((数据源!$A$2:$A$160=M5)*(数据源!$B$2:$B$160=M6)*(数据源!$C$2:$C$160=M7)),数据源!$E$2:$E$160)</f>
        <v>#N/A</v>
      </c>
      <c r="N9" s="12" t="e">
        <f>LOOKUP(1,0/((数据源!$A$2:$A$160=N5)*(数据源!$B$2:$B$160=N6)*(数据源!$C$2:$C$160=N7)),数据源!$E$2:$E$160)</f>
        <v>#N/A</v>
      </c>
      <c r="O9" s="12" t="e">
        <f>LOOKUP(1,0/((数据源!$A$2:$A$160=O5)*(数据源!$B$2:$B$160=O6)*(数据源!$C$2:$C$160=O7)),数据源!$E$2:$E$160)</f>
        <v>#N/A</v>
      </c>
      <c r="P9" s="12" t="e">
        <f>LOOKUP(1,0/((数据源!$A$2:$A$160=P5)*(数据源!$B$2:$B$160=P6)*(数据源!$C$2:$C$160=P7)),数据源!$E$2:$E$160)</f>
        <v>#N/A</v>
      </c>
      <c r="Q9" s="12">
        <f>LOOKUP(1,0/((数据源!$A$2:$A$160=Q5)*(数据源!$B$2:$B$160=Q6)*(数据源!$C$2:$C$160=Q7)),数据源!$E$2:$E$160)</f>
        <v>5</v>
      </c>
      <c r="R9" s="12">
        <f>LOOKUP(1,0/((数据源!$A$2:$A$160=R5)*(数据源!$B$2:$B$160=R6)*(数据源!$C$2:$C$160=R7)),数据源!$E$2:$E$160)</f>
        <v>8</v>
      </c>
      <c r="S9" s="44"/>
      <c r="T9" s="44"/>
      <c r="U9" s="44"/>
      <c r="V9" s="44"/>
      <c r="W9" s="44"/>
      <c r="X9" s="44"/>
      <c r="Y9" s="44"/>
    </row>
    <row r="10" spans="1:25" x14ac:dyDescent="0.15">
      <c r="A10" s="44"/>
      <c r="B10" s="25" t="s">
        <v>55</v>
      </c>
      <c r="C10" s="26" t="s">
        <v>41</v>
      </c>
      <c r="D10" s="12">
        <f>LOOKUP(1,0/((数据源!$A$2:$A$160=D5)*(数据源!$B$2:$B$160=D6)*(数据源!$C$2:$C$160=D7)),数据源!$F$2:$F$160)</f>
        <v>60</v>
      </c>
      <c r="E10" s="12">
        <f>LOOKUP(1,0/((数据源!$A$2:$A$160=E5)*(数据源!$B$2:$B$160=E6)*(数据源!$C$2:$C$160=E7)),数据源!$F$2:$F$160)</f>
        <v>60</v>
      </c>
      <c r="F10" s="12">
        <f>LOOKUP(1,0/((数据源!$A$2:$A$160=F5)*(数据源!$B$2:$B$160=F6)*(数据源!$C$2:$C$160=F7)),数据源!$F$2:$F$160)</f>
        <v>0</v>
      </c>
      <c r="G10" s="12">
        <f>LOOKUP(1,0/((数据源!$A$2:$A$160=G5)*(数据源!$B$2:$B$160=G6)*(数据源!$C$2:$C$160=G7)),数据源!$F$2:$F$160)</f>
        <v>60</v>
      </c>
      <c r="H10" s="12">
        <f>LOOKUP(1,0/((数据源!$A$2:$A$160=H5)*(数据源!$B$2:$B$160=H6)*(数据源!$C$2:$C$160=H7)),数据源!$F$2:$F$160)</f>
        <v>15</v>
      </c>
      <c r="I10" s="12">
        <f>LOOKUP(1,0/((数据源!$A$2:$A$160=I5)*(数据源!$B$2:$B$160=I6)*(数据源!$C$2:$C$160=I7)),数据源!$F$2:$F$160)</f>
        <v>60</v>
      </c>
      <c r="J10" s="12">
        <f>LOOKUP(1,0/((数据源!$A$2:$A$160=J5)*(数据源!$B$2:$B$160=J6)*(数据源!$C$2:$C$160=J7)),数据源!$F$2:$F$160)</f>
        <v>60</v>
      </c>
      <c r="K10" s="12">
        <f>LOOKUP(1,0/((数据源!$A$2:$A$160=K5)*(数据源!$B$2:$B$160=K6)*(数据源!$C$2:$C$160=K7)),数据源!$F$2:$F$160)</f>
        <v>60</v>
      </c>
      <c r="L10" s="12">
        <f>LOOKUP(1,0/((数据源!$A$2:$A$160=L5)*(数据源!$B$2:$B$160=L6)*(数据源!$C$2:$C$160=L7)),数据源!$F$2:$F$160)</f>
        <v>1000</v>
      </c>
      <c r="M10" s="12" t="e">
        <f>LOOKUP(1,0/((数据源!$A$2:$A$160=M5)*(数据源!$B$2:$B$160=M6)*(数据源!$C$2:$C$160=M7)),数据源!$F$2:$F$160)</f>
        <v>#N/A</v>
      </c>
      <c r="N10" s="12" t="e">
        <f>LOOKUP(1,0/((数据源!$A$2:$A$160=N5)*(数据源!$B$2:$B$160=N6)*(数据源!$C$2:$C$160=N7)),数据源!$F$2:$F$160)</f>
        <v>#N/A</v>
      </c>
      <c r="O10" s="12" t="e">
        <f>LOOKUP(1,0/((数据源!$A$2:$A$160=O5)*(数据源!$B$2:$B$160=O6)*(数据源!$C$2:$C$160=O7)),数据源!$F$2:$F$160)</f>
        <v>#N/A</v>
      </c>
      <c r="P10" s="12" t="e">
        <f>LOOKUP(1,0/((数据源!$A$2:$A$160=P5)*(数据源!$B$2:$B$160=P6)*(数据源!$C$2:$C$160=P7)),数据源!$F$2:$F$160)</f>
        <v>#N/A</v>
      </c>
      <c r="Q10" s="12">
        <f>LOOKUP(1,0/((数据源!$A$2:$A$160=Q5)*(数据源!$B$2:$B$160=Q6)*(数据源!$C$2:$C$160=Q7)),数据源!$F$2:$F$160)</f>
        <v>1000</v>
      </c>
      <c r="R10" s="12">
        <f>LOOKUP(1,0/((数据源!$A$2:$A$160=R5)*(数据源!$B$2:$B$160=R6)*(数据源!$C$2:$C$160=R7)),数据源!$F$2:$F$160)</f>
        <v>1000</v>
      </c>
      <c r="S10" s="44"/>
      <c r="T10" s="44"/>
      <c r="U10" s="44"/>
      <c r="V10" s="44"/>
      <c r="W10" s="44"/>
      <c r="X10" s="44"/>
      <c r="Y10" s="44"/>
    </row>
    <row r="11" spans="1:25" ht="17.25" thickBot="1" x14ac:dyDescent="0.2">
      <c r="A11" s="6"/>
      <c r="B11" s="29" t="s">
        <v>4</v>
      </c>
      <c r="C11" s="30" t="s">
        <v>41</v>
      </c>
      <c r="D11" s="13">
        <f>LOOKUP(1,0/((数据源!$A$2:$A$160=D5)*(数据源!$B$2:$B$160=D6)*(数据源!$C$2:$C$160=D7)),数据源!$G$2:$G$160)</f>
        <v>60</v>
      </c>
      <c r="E11" s="13">
        <f>LOOKUP(1,0/((数据源!$A$2:$A$160=E5)*(数据源!$B$2:$B$160=E6)*(数据源!$C$2:$C$160=E7)),数据源!$G$2:$G$160)</f>
        <v>60</v>
      </c>
      <c r="F11" s="13">
        <f>LOOKUP(1,0/((数据源!$A$2:$A$160=F5)*(数据源!$B$2:$B$160=F6)*(数据源!$C$2:$C$160=F7)),数据源!$G$2:$G$160)</f>
        <v>0</v>
      </c>
      <c r="G11" s="13">
        <f>LOOKUP(1,0/((数据源!$A$2:$A$160=G5)*(数据源!$B$2:$B$160=G6)*(数据源!$C$2:$C$160=G7)),数据源!$G$2:$G$160)</f>
        <v>60</v>
      </c>
      <c r="H11" s="13">
        <f>LOOKUP(1,0/((数据源!$A$2:$A$160=H5)*(数据源!$B$2:$B$160=H6)*(数据源!$C$2:$C$160=H7)),数据源!$G$2:$G$160)</f>
        <v>16</v>
      </c>
      <c r="I11" s="13">
        <f>LOOKUP(1,0/((数据源!$A$2:$A$160=I5)*(数据源!$B$2:$B$160=I6)*(数据源!$C$2:$C$160=I7)),数据源!$G$2:$G$160)</f>
        <v>60</v>
      </c>
      <c r="J11" s="13">
        <f>LOOKUP(1,0/((数据源!$A$2:$A$160=J5)*(数据源!$B$2:$B$160=J6)*(数据源!$C$2:$C$160=J7)),数据源!$G$2:$G$160)</f>
        <v>60</v>
      </c>
      <c r="K11" s="13">
        <f>LOOKUP(1,0/((数据源!$A$2:$A$160=K5)*(数据源!$B$2:$B$160=K6)*(数据源!$C$2:$C$160=K7)),数据源!$G$2:$G$160)</f>
        <v>60</v>
      </c>
      <c r="L11" s="13">
        <f>LOOKUP(1,0/((数据源!$A$2:$A$160=L5)*(数据源!$B$2:$B$160=L6)*(数据源!$C$2:$C$160=L7)),数据源!$G$2:$G$160)</f>
        <v>1000</v>
      </c>
      <c r="M11" s="13" t="e">
        <f>LOOKUP(1,0/((数据源!$A$2:$A$160=M5)*(数据源!$B$2:$B$160=M6)*(数据源!$C$2:$C$160=M7)),数据源!$G$2:$G$160)</f>
        <v>#N/A</v>
      </c>
      <c r="N11" s="13" t="e">
        <f>LOOKUP(1,0/((数据源!$A$2:$A$160=N5)*(数据源!$B$2:$B$160=N6)*(数据源!$C$2:$C$160=N7)),数据源!$G$2:$G$160)</f>
        <v>#N/A</v>
      </c>
      <c r="O11" s="13" t="e">
        <f>LOOKUP(1,0/((数据源!$A$2:$A$160=O5)*(数据源!$B$2:$B$160=O6)*(数据源!$C$2:$C$160=O7)),数据源!$G$2:$G$160)</f>
        <v>#N/A</v>
      </c>
      <c r="P11" s="13" t="e">
        <f>LOOKUP(1,0/((数据源!$A$2:$A$160=P5)*(数据源!$B$2:$B$160=P6)*(数据源!$C$2:$C$160=P7)),数据源!$G$2:$G$160)</f>
        <v>#N/A</v>
      </c>
      <c r="Q11" s="13">
        <f>LOOKUP(1,0/((数据源!$A$2:$A$160=Q5)*(数据源!$B$2:$B$160=Q6)*(数据源!$C$2:$C$160=Q7)),数据源!$G$2:$G$160)</f>
        <v>1000</v>
      </c>
      <c r="R11" s="13">
        <f>LOOKUP(1,0/((数据源!$A$2:$A$160=R5)*(数据源!$B$2:$B$160=R6)*(数据源!$C$2:$C$160=R7)),数据源!$G$2:$G$160)</f>
        <v>1000</v>
      </c>
      <c r="S11" s="44"/>
      <c r="T11" s="44"/>
      <c r="U11" s="44"/>
      <c r="V11" s="44"/>
      <c r="W11" s="44"/>
      <c r="X11" s="44"/>
      <c r="Y11" s="44"/>
    </row>
    <row r="12" spans="1:25" ht="17.25" thickTop="1" x14ac:dyDescent="0.15">
      <c r="A12" s="48">
        <f>M23</f>
        <v>-98.714574719691228</v>
      </c>
      <c r="B12" s="31" t="s">
        <v>5</v>
      </c>
      <c r="C12" s="32" t="s">
        <v>40</v>
      </c>
      <c r="D12" s="14">
        <f>IF(AND(D4&lt;&gt;FALSE,D8&lt;&gt;""),D8,"")</f>
        <v>-1.3</v>
      </c>
      <c r="E12" s="11">
        <f>IF(OR($D$4:E$4)=FALSE,"",IF(E$4=FALSE,D12,IF(OR($D$4:D4)=FALSE,E8,E8+D12)))</f>
        <v>-3.1</v>
      </c>
      <c r="F12" s="11">
        <f>IF(OR($D$4:F$4)=FALSE,"",IF(F$4=FALSE,E12,IF(OR($D$4:E4)=FALSE,F8,F8+E12)))</f>
        <v>-3.9000000000000004</v>
      </c>
      <c r="G12" s="11">
        <f>IF(OR($D$4:G$4)=FALSE,"",IF(G$4=FALSE,F12,IF(OR($D$4:F4)=FALSE,G8,G8+F12)))</f>
        <v>52.1</v>
      </c>
      <c r="H12" s="11">
        <f>IF(OR($D$4:H$4)=FALSE,"",IF(H$4=FALSE,G12,IF(OR($D$4:G4)=FALSE,H8,H8+G12)))</f>
        <v>52.1</v>
      </c>
      <c r="I12" s="11">
        <f>IF(OR($D$4:I$4)=FALSE,"",IF(I$4=FALSE,H12,IF(OR($D$4:H4)=FALSE,I8,I8+H12)))</f>
        <v>52.1</v>
      </c>
      <c r="J12" s="11">
        <f>IF(OR($D$4:J$4)=FALSE,"",IF(J$4=FALSE,I12,IF(OR($D$4:I4)=FALSE,J8,J8+I12)))</f>
        <v>52.1</v>
      </c>
      <c r="K12" s="11">
        <f>IF(OR($D$4:K$4)=FALSE,"",IF(K$4=FALSE,J12,IF(OR($D$4:J4)=FALSE,K8,K8+J12)))</f>
        <v>52.1</v>
      </c>
      <c r="L12" s="11">
        <f>IF(OR($D$4:L$4)=FALSE,"",IF(L$4=FALSE,K12,IF(OR($D$4:K4)=FALSE,L8,L8+K12)))</f>
        <v>52.1</v>
      </c>
      <c r="M12" s="11">
        <f>IF(OR($D$4:M$4)=FALSE,"",IF(M$4=FALSE,L12,IF(OR($D$4:L4)=FALSE,M8,M8+L12)))</f>
        <v>52.1</v>
      </c>
      <c r="N12" s="11">
        <f>IF(OR($D$4:N$4)=FALSE,"",IF(N$4=FALSE,M12,IF(OR($D$4:M4)=FALSE,N8,N8+M12)))</f>
        <v>52.1</v>
      </c>
      <c r="O12" s="11">
        <f>IF(OR($D$4:O$4)=FALSE,"",IF(O$4=FALSE,N12,IF(OR($D$4:N4)=FALSE,O8,O8+N12)))</f>
        <v>52.1</v>
      </c>
      <c r="P12" s="11">
        <f>IF(OR($D$4:P$4)=FALSE,"",IF(P$4=FALSE,O12,IF(OR($D$4:O4)=FALSE,P8,P8+O12)))</f>
        <v>52.1</v>
      </c>
      <c r="Q12" s="11">
        <f>IF(OR($D$4:Q$4)=FALSE,"",IF(Q$4=FALSE,P12,IF(OR($D$4:P4)=FALSE,Q8,Q8+P12)))</f>
        <v>52.1</v>
      </c>
      <c r="R12" s="11">
        <f>IF(OR($D$4:R$4)=FALSE,"",IF(R$4=FALSE,Q12,IF(OR($D$4:Q4)=FALSE,R8,R8+Q12)))</f>
        <v>52.1</v>
      </c>
      <c r="S12" s="44"/>
      <c r="T12" s="44"/>
      <c r="U12" s="44"/>
      <c r="V12" s="44"/>
      <c r="W12" s="44"/>
      <c r="X12" s="44"/>
      <c r="Y12" s="44"/>
    </row>
    <row r="13" spans="1:25" x14ac:dyDescent="0.15">
      <c r="A13" s="6"/>
      <c r="B13" s="33" t="s">
        <v>6</v>
      </c>
      <c r="C13" s="34" t="s">
        <v>40</v>
      </c>
      <c r="D13" s="12">
        <f>IF(AND(D4&lt;&gt;FALSE,D9&lt;&gt;""),D9,"")</f>
        <v>1.3</v>
      </c>
      <c r="E13" s="10">
        <f>IF(OR($D$4:E$4)=FALSE,"",IF(E$4=FALSE,D13,IF(OR($D$4:D$4)=FALSE,E9,10*LOG(10^(D13/10)+(10^(E9/10)-1)/10^(D12/10)))))</f>
        <v>3.1000000000000005</v>
      </c>
      <c r="F13" s="10">
        <f>IF(OR($D$4:F$4)=FALSE,"",IF(F$4=FALSE,E13,IF(OR($D$4:E$4)=FALSE,F9,10*LOG(10^(E13/10)+(10^(F9/10)-1)/10^(E12/10)))))</f>
        <v>3.9000000000000012</v>
      </c>
      <c r="G13" s="10">
        <f>IF(OR($D$4:G$4)=FALSE,"",IF(G$4=FALSE,F13,IF(OR($D$4:F$4)=FALSE,G9,10*LOG(10^(F13/10)+(10^(G9/10)-1)/10^(F12/10)))))</f>
        <v>6.6000000000000014</v>
      </c>
      <c r="H13" s="10">
        <f>IF(OR($D$4:H$4)=FALSE,"",IF(H$4=FALSE,G13,IF(OR($D$4:G$4)=FALSE,H9,10*LOG(10^(G13/10)+(10^(H9/10)-1)/10^(G12/10)))))</f>
        <v>6.6000000000000014</v>
      </c>
      <c r="I13" s="10">
        <f>IF(OR($D$4:I$4)=FALSE,"",IF(I$4=FALSE,H13,IF(OR($D$4:H$4)=FALSE,I9,10*LOG(10^(H13/10)+(10^(I9/10)-1)/10^(H12/10)))))</f>
        <v>6.6000000000000014</v>
      </c>
      <c r="J13" s="10">
        <f>IF(OR($D$4:J$4)=FALSE,"",IF(J$4=FALSE,I13,IF(OR($D$4:I$4)=FALSE,J9,10*LOG(10^(I13/10)+(10^(J9/10)-1)/10^(I12/10)))))</f>
        <v>6.6000000000000014</v>
      </c>
      <c r="K13" s="10">
        <f>IF(OR($D$4:K$4)=FALSE,"",IF(K$4=FALSE,J13,IF(OR($D$4:J$4)=FALSE,K9,10*LOG(10^(J13/10)+(10^(K9/10)-1)/10^(J12/10)))))</f>
        <v>6.6000000000000014</v>
      </c>
      <c r="L13" s="10">
        <f>IF(OR($D$4:L$4)=FALSE,"",IF(L$4=FALSE,K13,IF(OR($D$4:K$4)=FALSE,L9,10*LOG(10^(K13/10)+(10^(L9/10)-1)/10^(K12/10)))))</f>
        <v>6.6000000000000014</v>
      </c>
      <c r="M13" s="10">
        <f>IF(OR($D$4:M$4)=FALSE,"",IF(M$4=FALSE,L13,IF(OR($D$4:L$4)=FALSE,M9,10*LOG(10^(L13/10)+(10^(M9/10)-1)/10^(L12/10)))))</f>
        <v>6.6000000000000014</v>
      </c>
      <c r="N13" s="10">
        <f>IF(OR($D$4:N$4)=FALSE,"",IF(N$4=FALSE,M13,IF(OR($D$4:M$4)=FALSE,N9,10*LOG(10^(M13/10)+(10^(N9/10)-1)/10^(M12/10)))))</f>
        <v>6.6000000000000014</v>
      </c>
      <c r="O13" s="10">
        <f>IF(OR($D$4:O$4)=FALSE,"",IF(O$4=FALSE,N13,IF(OR($D$4:N$4)=FALSE,O9,10*LOG(10^(N13/10)+(10^(O9/10)-1)/10^(N12/10)))))</f>
        <v>6.6000000000000014</v>
      </c>
      <c r="P13" s="10">
        <f>IF(OR($D$4:P$4)=FALSE,"",IF(P$4=FALSE,O13,IF(OR($D$4:O$4)=FALSE,P9,10*LOG(10^(O13/10)+(10^(P9/10)-1)/10^(O12/10)))))</f>
        <v>6.6000000000000014</v>
      </c>
      <c r="Q13" s="10">
        <f>IF(OR($D$4:Q$4)=FALSE,"",IF(Q$4=FALSE,P13,IF(OR($D$4:P$4)=FALSE,Q9,10*LOG(10^(P13/10)+(10^(Q9/10)-1)/10^(P12/10)))))</f>
        <v>6.6000000000000014</v>
      </c>
      <c r="R13" s="10">
        <f>IF(OR($D$4:R$4)=FALSE,"",IF(R$4=FALSE,Q13,IF(OR($D$4:Q$4)=FALSE,R9,10*LOG(10^(Q13/10)+(10^(R9/10)-1)/10^(Q12/10)))))</f>
        <v>6.6000000000000014</v>
      </c>
      <c r="S13" s="6"/>
      <c r="T13" s="6"/>
      <c r="U13" s="6"/>
      <c r="V13" s="6"/>
    </row>
    <row r="14" spans="1:25" x14ac:dyDescent="0.15">
      <c r="A14" s="6"/>
      <c r="B14" s="33" t="s">
        <v>7</v>
      </c>
      <c r="C14" s="34" t="s">
        <v>41</v>
      </c>
      <c r="D14" s="12">
        <f>IF(AND(D4&lt;&gt;FALSE,D10&lt;&gt;""),D10,"")</f>
        <v>60</v>
      </c>
      <c r="E14" s="10">
        <f>IF(OR($D$4:E$4)=FALSE,"",IF(E$4=FALSE,D14,IF(OR($D$4:D$4)=FALSE,E10,10*LOG(1/(1/10^(E10/10)+1/(10^(D14/10)*10^(E8/10)))))))</f>
        <v>55.997105277687936</v>
      </c>
      <c r="F14" s="10">
        <f>IF(OR($D$4:F$4)=FALSE,"",IF(F$4=FALSE,E14,IF(OR($D$4:E$4)=FALSE,F10,10*LOG(1/(1/10^(F10/10)+1/(10^(E14/10)*10^(F8/10)))))))</f>
        <v>-1.312420868353648E-5</v>
      </c>
      <c r="G14" s="10">
        <f>IF(OR($D$4:G$4)=FALSE,"",IF(G$4=FALSE,F14,IF(OR($D$4:F$4)=FALSE,G10,10*LOG(1/(1/10^(G10/10)+1/(10^(F14/10)*10^(G8/10)))))))</f>
        <v>54.544585981776656</v>
      </c>
      <c r="H14" s="10">
        <f>IF(OR($D$4:H$4)=FALSE,"",IF(H$4=FALSE,G14,IF(OR($D$4:G$4)=FALSE,H10,10*LOG(1/(1/10^(H10/10)+1/(10^(G14/10)*10^(H8/10)))))))</f>
        <v>54.544585981776656</v>
      </c>
      <c r="I14" s="10">
        <f>IF(OR($D$4:I$4)=FALSE,"",IF(I$4=FALSE,H14,IF(OR($D$4:H$4)=FALSE,I10,10*LOG(1/(1/10^(I10/10)+1/(10^(H14/10)*10^(I8/10)))))))</f>
        <v>54.544585981776656</v>
      </c>
      <c r="J14" s="10">
        <f>IF(OR($D$4:J$4)=FALSE,"",IF(J$4=FALSE,I14,IF(OR($D$4:I$4)=FALSE,J10,10*LOG(1/(1/10^(J10/10)+1/(10^(I14/10)*10^(J8/10)))))))</f>
        <v>54.544585981776656</v>
      </c>
      <c r="K14" s="10">
        <f>IF(OR($D$4:K$4)=FALSE,"",IF(K$4=FALSE,J14,IF(OR($D$4:J$4)=FALSE,K10,10*LOG(1/(1/10^(K10/10)+1/(10^(J14/10)*10^(K8/10)))))))</f>
        <v>54.544585981776656</v>
      </c>
      <c r="L14" s="10">
        <f>IF(OR($D$4:L$4)=FALSE,"",IF(L$4=FALSE,K14,IF(OR($D$4:K$4)=FALSE,L10,10*LOG(1/(1/10^(L10/10)+1/(10^(K14/10)*10^(L8/10)))))))</f>
        <v>54.544585981776656</v>
      </c>
      <c r="M14" s="10">
        <f>IF(OR($D$4:M$4)=FALSE,"",IF(M$4=FALSE,L14,IF(OR($D$4:L$4)=FALSE,M10,10*LOG(1/(1/10^(M10/10)+1/(10^(L14/10)*10^(M8/10)))))))</f>
        <v>54.544585981776656</v>
      </c>
      <c r="N14" s="10">
        <f>IF(OR($D$4:N$4)=FALSE,"",IF(N$4=FALSE,M14,IF(OR($D$4:M$4)=FALSE,N10,10*LOG(1/(1/10^(N10/10)+1/(10^(M14/10)*10^(N8/10)))))))</f>
        <v>54.544585981776656</v>
      </c>
      <c r="O14" s="10">
        <f>IF(OR($D$4:O$4)=FALSE,"",IF(O$4=FALSE,N14,IF(OR($D$4:N$4)=FALSE,O10,10*LOG(1/(1/10^(O10/10)+1/(10^(N14/10)*10^(O8/10)))))))</f>
        <v>54.544585981776656</v>
      </c>
      <c r="P14" s="10">
        <f>IF(OR($D$4:P$4)=FALSE,"",IF(P$4=FALSE,O14,IF(OR($D$4:O$4)=FALSE,P10,10*LOG(1/(1/10^(P10/10)+1/(10^(O14/10)*10^(P8/10)))))))</f>
        <v>54.544585981776656</v>
      </c>
      <c r="Q14" s="10">
        <f>IF(OR($D$4:Q$4)=FALSE,"",IF(Q$4=FALSE,P14,IF(OR($D$4:P$4)=FALSE,Q10,10*LOG(1/(1/10^(Q10/10)+1/(10^(P14/10)*10^(Q8/10)))))))</f>
        <v>54.544585981776656</v>
      </c>
      <c r="R14" s="10">
        <f>IF(OR($D$4:R$4)=FALSE,"",IF(R$4=FALSE,Q14,IF(OR($D$4:Q$4)=FALSE,R10,10*LOG(1/(1/10^(R10/10)+1/(10^(Q14/10)*10^(R8/10)))))))</f>
        <v>54.544585981776656</v>
      </c>
      <c r="S14" s="6"/>
      <c r="T14" s="6"/>
      <c r="U14" s="6"/>
      <c r="V14" s="6"/>
    </row>
    <row r="15" spans="1:25" ht="17.25" thickBot="1" x14ac:dyDescent="0.2">
      <c r="A15" s="6"/>
      <c r="B15" s="35" t="s">
        <v>36</v>
      </c>
      <c r="C15" s="36" t="s">
        <v>41</v>
      </c>
      <c r="D15" s="22">
        <f>IF(AND(D4&lt;&gt;FALSE,D11&lt;&gt;""),D11,"")</f>
        <v>60</v>
      </c>
      <c r="E15" s="16">
        <f>IF(OR($D$4:E$4)=FALSE,"",IF(E$4=FALSE,D15,IF(OR($D$4:D$4)=FALSE,E11,10*LOG(1/(1/10^(E11/10)+1/(10^(D15/10)*10^(E8/10)))))))</f>
        <v>55.997105277687936</v>
      </c>
      <c r="F15" s="16">
        <f>IF(OR($D$4:F$4)=FALSE,"",IF(F$4=FALSE,E15,IF(OR($D$4:E$4)=FALSE,F11,10*LOG(1/(1/10^(F11/10)+1/(10^(E15/10)*10^(F8/10)))))))</f>
        <v>-1.312420868353648E-5</v>
      </c>
      <c r="G15" s="16">
        <f>IF(OR($D$4:G$4)=FALSE,"",IF(G$4=FALSE,F15,IF(OR($D$4:F$4)=FALSE,G11,10*LOG(1/(1/10^(G11/10)+1/(10^(F15/10)*10^(G8/10)))))))</f>
        <v>54.544585981776656</v>
      </c>
      <c r="H15" s="16">
        <f>IF(OR($D$4:H$4)=FALSE,"",IF(H$4=FALSE,G15,IF(OR($D$4:G$4)=FALSE,H11,10*LOG(1/(1/10^(H11/10)+1/(10^(G15/10)*10^(H8/10)))))))</f>
        <v>54.544585981776656</v>
      </c>
      <c r="I15" s="16">
        <f>IF(OR($D$4:I$4)=FALSE,"",IF(I$4=FALSE,H15,IF(OR($D$4:H$4)=FALSE,I11,10*LOG(1/(1/10^(I11/10)+1/(10^(H15/10)*10^(I8/10)))))))</f>
        <v>54.544585981776656</v>
      </c>
      <c r="J15" s="16">
        <f>IF(OR($D$4:J$4)=FALSE,"",IF(J$4=FALSE,I15,IF(OR($D$4:I$4)=FALSE,J11,10*LOG(1/(1/10^(J11/10)+1/(10^(I15/10)*10^(J8/10)))))))</f>
        <v>54.544585981776656</v>
      </c>
      <c r="K15" s="16">
        <f>IF(OR($D$4:K$4)=FALSE,"",IF(K$4=FALSE,J15,IF(OR($D$4:J$4)=FALSE,K11,10*LOG(1/(1/10^(K11/10)+1/(10^(J15/10)*10^(K8/10)))))))</f>
        <v>54.544585981776656</v>
      </c>
      <c r="L15" s="16">
        <f>IF(OR($D$4:L$4)=FALSE,"",IF(L$4=FALSE,K15,IF(OR($D$4:K$4)=FALSE,L11,10*LOG(1/(1/10^(L11/10)+1/(10^(K15/10)*10^(L8/10)))))))</f>
        <v>54.544585981776656</v>
      </c>
      <c r="M15" s="16">
        <f>IF(OR($D$4:M$4)=FALSE,"",IF(M$4=FALSE,L15,IF(OR($D$4:L$4)=FALSE,M11,10*LOG(1/(1/10^(M11/10)+1/(10^(L15/10)*10^(M8/10)))))))</f>
        <v>54.544585981776656</v>
      </c>
      <c r="N15" s="16">
        <f>IF(OR($D$4:N$4)=FALSE,"",IF(N$4=FALSE,M15,IF(OR($D$4:M$4)=FALSE,N11,10*LOG(1/(1/10^(N11/10)+1/(10^(M15/10)*10^(N8/10)))))))</f>
        <v>54.544585981776656</v>
      </c>
      <c r="O15" s="16">
        <f>IF(OR($D$4:O$4)=FALSE,"",IF(O$4=FALSE,N15,IF(OR($D$4:N$4)=FALSE,O11,10*LOG(1/(1/10^(O11/10)+1/(10^(N15/10)*10^(O8/10)))))))</f>
        <v>54.544585981776656</v>
      </c>
      <c r="P15" s="16">
        <f>IF(OR($D$4:P$4)=FALSE,"",IF(P$4=FALSE,O15,IF(OR($D$4:O$4)=FALSE,P11,10*LOG(1/(1/10^(P11/10)+1/(10^(O15/10)*10^(P8/10)))))))</f>
        <v>54.544585981776656</v>
      </c>
      <c r="Q15" s="16">
        <f>IF(OR($D$4:Q$4)=FALSE,"",IF(Q$4=FALSE,P15,IF(OR($D$4:P$4)=FALSE,Q11,10*LOG(1/(1/10^(Q11/10)+1/(10^(P15/10)*10^(Q8/10)))))))</f>
        <v>54.544585981776656</v>
      </c>
      <c r="R15" s="16">
        <f>IF(OR($D$4:R$4)=FALSE,"",IF(R$4=FALSE,Q15,IF(OR($D$4:Q$4)=FALSE,R11,10*LOG(1/(1/10^(R11/10)+1/(10^(Q15/10)*10^(R8/10)))))))</f>
        <v>54.544585981776656</v>
      </c>
      <c r="S15" s="6"/>
      <c r="T15" s="6"/>
      <c r="U15" s="6"/>
      <c r="V15" s="6"/>
    </row>
    <row r="16" spans="1:25" ht="17.25" thickTop="1" x14ac:dyDescent="0.15">
      <c r="A16" s="6"/>
      <c r="B16" s="37" t="s">
        <v>37</v>
      </c>
      <c r="C16" s="38" t="s">
        <v>41</v>
      </c>
      <c r="D16" s="14">
        <f>IF(AND(D4&lt;&gt;FALSE,G23&lt;&gt;""),G23,"")</f>
        <v>-50</v>
      </c>
      <c r="E16" s="11">
        <f>IF(OR($D$4:E$4)=FALSE,"",IF(E$4=FALSE,D16,IF(OR($D$4:D$4)=FALSE,$G$23,D17)))</f>
        <v>-51.3</v>
      </c>
      <c r="F16" s="11">
        <f>IF(OR($D$4:F$4)=FALSE,"",IF(F$4=FALSE,E16,IF(OR($D$4:E$4)=FALSE,$G$23,E17)))</f>
        <v>-53.099999999999994</v>
      </c>
      <c r="G16" s="11">
        <f>IF(OR($D$4:G$4)=FALSE,"",IF(G$4=FALSE,F16,IF(OR($D$4:F$4)=FALSE,$G$23,F17)))</f>
        <v>-53.899999999999991</v>
      </c>
      <c r="H16" s="11">
        <f>IF(OR($D$4:H$4)=FALSE,"",IF(H$4=FALSE,G16,IF(OR($D$4:G$4)=FALSE,$G$23,G17)))</f>
        <v>-53.899999999999991</v>
      </c>
      <c r="I16" s="11">
        <f>IF(OR($D$4:I$4)=FALSE,"",IF(I$4=FALSE,H16,IF(OR($D$4:H$4)=FALSE,$G$23,H17)))</f>
        <v>-53.899999999999991</v>
      </c>
      <c r="J16" s="11">
        <f>IF(OR($D$4:J$4)=FALSE,"",IF(J$4=FALSE,I16,IF(OR($D$4:I$4)=FALSE,$G$23,I17)))</f>
        <v>-53.899999999999991</v>
      </c>
      <c r="K16" s="11">
        <f>IF(OR($D$4:K$4)=FALSE,"",IF(K$4=FALSE,J16,IF(OR($D$4:J$4)=FALSE,$G$23,J17)))</f>
        <v>-53.899999999999991</v>
      </c>
      <c r="L16" s="11">
        <f>IF(OR($D$4:L$4)=FALSE,"",IF(L$4=FALSE,K16,IF(OR($D$4:K$4)=FALSE,$G$23,K17)))</f>
        <v>-53.899999999999991</v>
      </c>
      <c r="M16" s="11">
        <f>IF(OR($D$4:M$4)=FALSE,"",IF(M$4=FALSE,L16,IF(OR($D$4:L$4)=FALSE,$G$23,L17)))</f>
        <v>-53.899999999999991</v>
      </c>
      <c r="N16" s="11">
        <f>IF(OR($D$4:N$4)=FALSE,"",IF(N$4=FALSE,M16,IF(OR($D$4:M$4)=FALSE,$G$23,M17)))</f>
        <v>-53.899999999999991</v>
      </c>
      <c r="O16" s="11">
        <f>IF(OR($D$4:O$4)=FALSE,"",IF(O$4=FALSE,N16,IF(OR($D$4:N$4)=FALSE,$G$23,N17)))</f>
        <v>-53.899999999999991</v>
      </c>
      <c r="P16" s="11">
        <f>IF(OR($D$4:P$4)=FALSE,"",IF(P$4=FALSE,O16,IF(OR($D$4:O$4)=FALSE,$G$23,O17)))</f>
        <v>-53.899999999999991</v>
      </c>
      <c r="Q16" s="11">
        <f>IF(OR($D$4:Q$4)=FALSE,"",IF(Q$4=FALSE,P16,IF(OR($D$4:P$4)=FALSE,$G$23,P17)))</f>
        <v>-53.899999999999991</v>
      </c>
      <c r="R16" s="11">
        <f>IF(OR($D$4:R$4)=FALSE,"",IF(R$4=FALSE,Q16,IF(OR($D$4:Q$4)=FALSE,$G$23,Q17)))</f>
        <v>-53.899999999999991</v>
      </c>
      <c r="S16" s="6"/>
      <c r="T16" s="6"/>
      <c r="U16" s="6"/>
      <c r="V16" s="6"/>
    </row>
    <row r="17" spans="1:22" x14ac:dyDescent="0.15">
      <c r="A17" s="6"/>
      <c r="B17" s="25" t="s">
        <v>8</v>
      </c>
      <c r="C17" s="26" t="s">
        <v>41</v>
      </c>
      <c r="D17" s="12">
        <f>IF(AND(D4&lt;&gt;FALSE,D8&lt;&gt;"",D16&lt;&gt;""),D16+D8,"")</f>
        <v>-51.3</v>
      </c>
      <c r="E17" s="10">
        <f>IF(AND(E4&lt;&gt;FALSE,E16&lt;&gt;"",E16&lt;&gt;""),E8+E16,D17)</f>
        <v>-53.099999999999994</v>
      </c>
      <c r="F17" s="10">
        <f t="shared" ref="F17:M17" si="0">IF(AND(F4&lt;&gt;FALSE,F16&lt;&gt;"",F16&lt;&gt;""),F8+F16,E17)</f>
        <v>-53.899999999999991</v>
      </c>
      <c r="G17" s="10">
        <f t="shared" si="0"/>
        <v>2.1000000000000085</v>
      </c>
      <c r="H17" s="10">
        <f t="shared" si="0"/>
        <v>2.1000000000000085</v>
      </c>
      <c r="I17" s="10">
        <f t="shared" si="0"/>
        <v>2.1000000000000085</v>
      </c>
      <c r="J17" s="10">
        <f t="shared" si="0"/>
        <v>2.1000000000000085</v>
      </c>
      <c r="K17" s="10">
        <f t="shared" si="0"/>
        <v>2.1000000000000085</v>
      </c>
      <c r="L17" s="10">
        <f t="shared" si="0"/>
        <v>2.1000000000000085</v>
      </c>
      <c r="M17" s="10">
        <f t="shared" si="0"/>
        <v>2.1000000000000085</v>
      </c>
      <c r="N17" s="10">
        <f>IF(AND(N4&lt;&gt;FALSE,N16&lt;&gt;"",N16&lt;&gt;""),N8+N16,M17)</f>
        <v>2.1000000000000085</v>
      </c>
      <c r="O17" s="10">
        <f>IF(AND(O4&lt;&gt;FALSE,O16&lt;&gt;"",O16&lt;&gt;""),O8+O16,N17)</f>
        <v>2.1000000000000085</v>
      </c>
      <c r="P17" s="10">
        <f>IF(AND(P4&lt;&gt;FALSE,P16&lt;&gt;"",P16&lt;&gt;""),P8+P16,O17)</f>
        <v>2.1000000000000085</v>
      </c>
      <c r="Q17" s="10">
        <f>IF(AND(Q4&lt;&gt;FALSE,Q16&lt;&gt;"",Q16&lt;&gt;""),Q8+Q16,P17)</f>
        <v>2.1000000000000085</v>
      </c>
      <c r="R17" s="10">
        <f>IF(AND(R4&lt;&gt;FALSE,R16&lt;&gt;"",R16&lt;&gt;""),R8+R16,Q17)</f>
        <v>2.1000000000000085</v>
      </c>
      <c r="S17" s="6"/>
      <c r="T17" s="6"/>
      <c r="U17" s="6"/>
      <c r="V17" s="6"/>
    </row>
    <row r="18" spans="1:22" x14ac:dyDescent="0.15">
      <c r="A18" s="6"/>
      <c r="B18" s="27" t="s">
        <v>9</v>
      </c>
      <c r="C18" s="28" t="s">
        <v>40</v>
      </c>
      <c r="D18" s="12">
        <f>IF(AND(D4&lt;&gt;FALSE,D10&lt;&gt;"",D17&lt;&gt;""),D10-D17,"")</f>
        <v>111.3</v>
      </c>
      <c r="E18" s="10">
        <f>IF(AND(E4&lt;&gt;FALSE,E10&lt;&gt;"",E17&lt;&gt;""),E10-E17,D18)</f>
        <v>113.1</v>
      </c>
      <c r="F18" s="10">
        <f t="shared" ref="F18:M18" si="1">IF(AND(F4&lt;&gt;FALSE,F10&lt;&gt;"",F17&lt;&gt;""),F10-F17,E18)</f>
        <v>53.899999999999991</v>
      </c>
      <c r="G18" s="10">
        <f t="shared" si="1"/>
        <v>57.899999999999991</v>
      </c>
      <c r="H18" s="10">
        <f t="shared" si="1"/>
        <v>57.899999999999991</v>
      </c>
      <c r="I18" s="10">
        <f t="shared" si="1"/>
        <v>57.899999999999991</v>
      </c>
      <c r="J18" s="10">
        <f t="shared" si="1"/>
        <v>57.899999999999991</v>
      </c>
      <c r="K18" s="10">
        <f t="shared" si="1"/>
        <v>57.899999999999991</v>
      </c>
      <c r="L18" s="10">
        <f t="shared" si="1"/>
        <v>57.899999999999991</v>
      </c>
      <c r="M18" s="10" t="e">
        <f t="shared" si="1"/>
        <v>#N/A</v>
      </c>
      <c r="N18" s="10" t="e">
        <f>IF(AND(N4&lt;&gt;FALSE,N10&lt;&gt;"",N17&lt;&gt;""),N10-N17,M18)</f>
        <v>#N/A</v>
      </c>
      <c r="O18" s="10" t="e">
        <f>IF(AND(O4&lt;&gt;FALSE,O10&lt;&gt;"",O17&lt;&gt;""),O10-O17,N18)</f>
        <v>#N/A</v>
      </c>
      <c r="P18" s="10" t="e">
        <f>IF(AND(P4&lt;&gt;FALSE,P10&lt;&gt;"",P17&lt;&gt;""),P10-P17,O18)</f>
        <v>#N/A</v>
      </c>
      <c r="Q18" s="10" t="e">
        <f>IF(AND(Q4&lt;&gt;FALSE,Q10&lt;&gt;"",Q17&lt;&gt;""),Q10-Q17,P18)</f>
        <v>#N/A</v>
      </c>
      <c r="R18" s="10" t="e">
        <f>IF(AND(R4&lt;&gt;FALSE,R10&lt;&gt;"",R17&lt;&gt;""),R10-R17,Q18)</f>
        <v>#N/A</v>
      </c>
      <c r="S18" s="6"/>
      <c r="T18" s="6"/>
      <c r="U18" s="6"/>
      <c r="V18" s="6"/>
    </row>
    <row r="19" spans="1:22" x14ac:dyDescent="0.15">
      <c r="A19" s="6"/>
      <c r="B19" s="25" t="s">
        <v>10</v>
      </c>
      <c r="C19" s="26" t="s">
        <v>42</v>
      </c>
      <c r="D19" s="12">
        <f>IF(AND(D4&lt;&gt;FALSE,D15&lt;&gt;"",D17&lt;&gt;""),2*(D15-D17),"")</f>
        <v>222.6</v>
      </c>
      <c r="E19" s="10">
        <f>IF(AND(E4&lt;&gt;FALSE,E15&lt;&gt;"",E17&lt;&gt;""),2*(E15-E17),D19)</f>
        <v>218.19421055537586</v>
      </c>
      <c r="F19" s="10">
        <f>IF(AND(F4&lt;&gt;FALSE,F15&lt;&gt;"",F17&lt;&gt;""),2*(F15-F17),E19)</f>
        <v>107.79997375158261</v>
      </c>
      <c r="G19" s="10">
        <f>IF(AND(G4&lt;&gt;FALSE,G15&lt;&gt;"",G17&lt;&gt;""),2*(G15-G17),F19)</f>
        <v>104.8891719635533</v>
      </c>
      <c r="H19" s="10">
        <f>IF(AND(H4&lt;&gt;FALSE,H15&lt;&gt;"",H17&lt;&gt;""),2*(H15-H17),G19)</f>
        <v>104.8891719635533</v>
      </c>
      <c r="I19" s="10">
        <f t="shared" ref="I19:M19" si="2">IF(AND(I4&lt;&gt;FALSE,I15&lt;&gt;"",I17&lt;&gt;""),2*(I15-I17),H19)</f>
        <v>104.8891719635533</v>
      </c>
      <c r="J19" s="10">
        <f t="shared" si="2"/>
        <v>104.8891719635533</v>
      </c>
      <c r="K19" s="10">
        <f t="shared" si="2"/>
        <v>104.8891719635533</v>
      </c>
      <c r="L19" s="10">
        <f t="shared" si="2"/>
        <v>104.8891719635533</v>
      </c>
      <c r="M19" s="10">
        <f t="shared" si="2"/>
        <v>104.8891719635533</v>
      </c>
      <c r="N19" s="10">
        <f t="shared" ref="N19" si="3">IF(AND(N4&lt;&gt;FALSE,N15&lt;&gt;"",N17&lt;&gt;""),2*(N15-N17),M19)</f>
        <v>104.8891719635533</v>
      </c>
      <c r="O19" s="10">
        <f t="shared" ref="O19" si="4">IF(AND(O4&lt;&gt;FALSE,O15&lt;&gt;"",O17&lt;&gt;""),2*(O15-O17),N19)</f>
        <v>104.8891719635533</v>
      </c>
      <c r="P19" s="10">
        <f t="shared" ref="P19" si="5">IF(AND(P4&lt;&gt;FALSE,P15&lt;&gt;"",P17&lt;&gt;""),2*(P15-P17),O19)</f>
        <v>104.8891719635533</v>
      </c>
      <c r="Q19" s="10">
        <f t="shared" ref="Q19" si="6">IF(AND(Q4&lt;&gt;FALSE,Q15&lt;&gt;"",Q17&lt;&gt;""),2*(Q15-Q17),P19)</f>
        <v>104.8891719635533</v>
      </c>
      <c r="R19" s="10">
        <f t="shared" ref="R19" si="7">IF(AND(R4&lt;&gt;FALSE,R15&lt;&gt;"",R17&lt;&gt;""),2*(R15-R17),Q19)</f>
        <v>104.8891719635533</v>
      </c>
      <c r="S19" s="6"/>
      <c r="T19" s="6"/>
      <c r="U19" s="6"/>
      <c r="V19" s="6"/>
    </row>
    <row r="20" spans="1:22" x14ac:dyDescent="0.15">
      <c r="A20" s="6"/>
      <c r="B20" s="39" t="s">
        <v>13</v>
      </c>
      <c r="C20" s="40" t="s">
        <v>40</v>
      </c>
      <c r="D20" s="12">
        <f>IF(AND(D4&lt;&gt;FALSE,D15&lt;&gt;"",D17&lt;&gt;"",$G$28&lt;&gt;""),-20.75+1.6*$G$28+2*(D17-D15),"")</f>
        <v>-227.35</v>
      </c>
      <c r="E20" s="10">
        <f>IF(AND(E4&lt;&gt;FALSE,E15&lt;&gt;"",E17&lt;&gt;"",$G$28&lt;&gt;""),-20.75+1.6*$G$28+2*(E17-E15),D20)</f>
        <v>-222.94421055537586</v>
      </c>
      <c r="F20" s="10">
        <f t="shared" ref="F20:M20" si="8">IF(AND(F4&lt;&gt;FALSE,F15&lt;&gt;"",F17&lt;&gt;"",$G$28&lt;&gt;""),-20.75+1.6*$G$28+2*(F17-F15),E20)</f>
        <v>-112.54997375158261</v>
      </c>
      <c r="G20" s="10">
        <f t="shared" si="8"/>
        <v>-109.6391719635533</v>
      </c>
      <c r="H20" s="10">
        <f t="shared" si="8"/>
        <v>-109.6391719635533</v>
      </c>
      <c r="I20" s="10">
        <f t="shared" si="8"/>
        <v>-109.6391719635533</v>
      </c>
      <c r="J20" s="10">
        <f t="shared" si="8"/>
        <v>-109.6391719635533</v>
      </c>
      <c r="K20" s="10">
        <f t="shared" si="8"/>
        <v>-109.6391719635533</v>
      </c>
      <c r="L20" s="10">
        <f t="shared" si="8"/>
        <v>-109.6391719635533</v>
      </c>
      <c r="M20" s="10">
        <f t="shared" si="8"/>
        <v>-109.6391719635533</v>
      </c>
      <c r="N20" s="10">
        <f>IF(AND(N4&lt;&gt;FALSE,N15&lt;&gt;"",N17&lt;&gt;"",$G$28&lt;&gt;""),-20.75+1.6*$G$28+2*(N17-N15),M20)</f>
        <v>-109.6391719635533</v>
      </c>
      <c r="O20" s="10">
        <f>IF(AND(O4&lt;&gt;FALSE,O15&lt;&gt;"",O17&lt;&gt;"",$G$28&lt;&gt;""),-20.75+1.6*$G$28+2*(O17-O15),N20)</f>
        <v>-109.6391719635533</v>
      </c>
      <c r="P20" s="10">
        <f>IF(AND(P4&lt;&gt;FALSE,P15&lt;&gt;"",P17&lt;&gt;"",$G$28&lt;&gt;""),-20.75+1.6*$G$28+2*(P17-P15),O20)</f>
        <v>-109.6391719635533</v>
      </c>
      <c r="Q20" s="10">
        <f>IF(AND(Q4&lt;&gt;FALSE,Q15&lt;&gt;"",Q17&lt;&gt;"",$G$28&lt;&gt;""),-20.75+1.6*$G$28+2*(Q17-Q15),P20)</f>
        <v>-109.6391719635533</v>
      </c>
      <c r="R20" s="10">
        <f>IF(AND(R4&lt;&gt;FALSE,R15&lt;&gt;"",R17&lt;&gt;"",$G$28&lt;&gt;""),-20.75+1.6*$G$28+2*(R17-R15),Q20)</f>
        <v>-109.6391719635533</v>
      </c>
      <c r="S20" s="6"/>
      <c r="T20" s="6"/>
      <c r="U20" s="6"/>
      <c r="V20" s="6"/>
    </row>
    <row r="21" spans="1:22" x14ac:dyDescent="0.1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</row>
    <row r="22" spans="1:22" x14ac:dyDescent="0.15">
      <c r="A22" s="6"/>
      <c r="B22" s="44"/>
      <c r="C22" s="44"/>
      <c r="D22" s="74" t="s">
        <v>11</v>
      </c>
      <c r="E22" s="74"/>
      <c r="F22" s="74"/>
      <c r="G22" s="74"/>
      <c r="H22" s="46"/>
      <c r="I22" s="68" t="s">
        <v>48</v>
      </c>
      <c r="J22" s="69"/>
      <c r="K22" s="69"/>
      <c r="L22" s="69"/>
      <c r="M22" s="70"/>
      <c r="N22" s="6"/>
      <c r="O22" s="65" t="s">
        <v>19</v>
      </c>
      <c r="P22" s="66"/>
      <c r="Q22" s="66"/>
      <c r="R22" s="67"/>
      <c r="S22" s="6"/>
      <c r="T22" s="6"/>
      <c r="U22" s="6"/>
      <c r="V22" s="6"/>
    </row>
    <row r="23" spans="1:22" x14ac:dyDescent="0.15">
      <c r="A23" s="6"/>
      <c r="B23" s="44"/>
      <c r="C23" s="44"/>
      <c r="D23" s="74" t="s">
        <v>37</v>
      </c>
      <c r="E23" s="74"/>
      <c r="F23" s="19" t="s">
        <v>3</v>
      </c>
      <c r="G23" s="20">
        <v>-50</v>
      </c>
      <c r="H23" s="6"/>
      <c r="I23" s="74" t="s">
        <v>16</v>
      </c>
      <c r="J23" s="74"/>
      <c r="K23" s="74"/>
      <c r="L23" s="19" t="s">
        <v>3</v>
      </c>
      <c r="M23" s="12">
        <f>IF(AND(G25&lt;&gt;"",G27&lt;&gt;"",G26&lt;&gt;""),10*LOG(1.3806505*10^(-20)*G25*10^6*G27)+LOOKUP(9E+307,13:13)+G26,"")</f>
        <v>-98.714574719691228</v>
      </c>
      <c r="N23" s="6"/>
      <c r="O23" s="71" t="s">
        <v>21</v>
      </c>
      <c r="P23" s="72"/>
      <c r="Q23" s="72"/>
      <c r="R23" s="73"/>
      <c r="S23" s="6"/>
      <c r="T23" s="6"/>
      <c r="U23" s="6"/>
      <c r="V23" s="6"/>
    </row>
    <row r="24" spans="1:22" x14ac:dyDescent="0.15">
      <c r="A24" s="6"/>
      <c r="B24" s="44"/>
      <c r="C24" s="44"/>
      <c r="D24" s="74" t="s">
        <v>14</v>
      </c>
      <c r="E24" s="74"/>
      <c r="F24" s="19" t="s">
        <v>1</v>
      </c>
      <c r="G24" s="20">
        <v>10</v>
      </c>
      <c r="H24" s="6"/>
      <c r="I24" s="74" t="s">
        <v>17</v>
      </c>
      <c r="J24" s="74"/>
      <c r="K24" s="74"/>
      <c r="L24" s="19" t="s">
        <v>49</v>
      </c>
      <c r="M24" s="12">
        <f>IF(AND(G27&lt;&gt;""),10*LOG(1.3806505*10^(-20)*G27)+LOOKUP(9E+307,13:13),"")</f>
        <v>-167.25699981408448</v>
      </c>
      <c r="N24" s="6"/>
      <c r="O24" s="71" t="s">
        <v>51</v>
      </c>
      <c r="P24" s="72"/>
      <c r="Q24" s="72"/>
      <c r="R24" s="73"/>
      <c r="S24" s="6"/>
      <c r="T24" s="6"/>
      <c r="U24" s="6"/>
      <c r="V24" s="6"/>
    </row>
    <row r="25" spans="1:22" x14ac:dyDescent="0.15">
      <c r="A25" s="6"/>
      <c r="B25" s="44"/>
      <c r="C25" s="44"/>
      <c r="D25" s="74" t="s">
        <v>43</v>
      </c>
      <c r="E25" s="74"/>
      <c r="F25" s="19" t="s">
        <v>25</v>
      </c>
      <c r="G25" s="20">
        <v>9</v>
      </c>
      <c r="H25" s="6"/>
      <c r="I25" s="74" t="s">
        <v>22</v>
      </c>
      <c r="J25" s="74"/>
      <c r="K25" s="74"/>
      <c r="L25" s="19" t="s">
        <v>20</v>
      </c>
      <c r="M25" s="12">
        <f>IF(AND(M24&lt;&gt;""),M24+LOOKUP(9E+307,12:12),"")</f>
        <v>-115.15699981408449</v>
      </c>
      <c r="N25" s="6"/>
      <c r="O25" s="71" t="s">
        <v>33</v>
      </c>
      <c r="P25" s="72"/>
      <c r="Q25" s="72"/>
      <c r="R25" s="73"/>
      <c r="S25" s="6"/>
      <c r="T25" s="6"/>
      <c r="U25" s="6"/>
      <c r="V25" s="6"/>
    </row>
    <row r="26" spans="1:22" x14ac:dyDescent="0.15">
      <c r="A26" s="6"/>
      <c r="B26" s="44"/>
      <c r="C26" s="44"/>
      <c r="D26" s="74" t="s">
        <v>44</v>
      </c>
      <c r="E26" s="74"/>
      <c r="F26" s="19" t="s">
        <v>1</v>
      </c>
      <c r="G26" s="20">
        <v>-1</v>
      </c>
      <c r="H26" s="6"/>
      <c r="I26" s="74" t="s">
        <v>15</v>
      </c>
      <c r="J26" s="74"/>
      <c r="K26" s="74"/>
      <c r="L26" s="19" t="s">
        <v>20</v>
      </c>
      <c r="M26" s="12">
        <f>IF(AND(G25&lt;&gt;"",G27&lt;&gt;""),10*LOG(1.3806505*10^(-20)*G25*10^6*G27)+LOOKUP(9E+307,13:13),"")</f>
        <v>-97.714574719691228</v>
      </c>
      <c r="N26" s="6"/>
      <c r="O26" s="71" t="s">
        <v>34</v>
      </c>
      <c r="P26" s="72"/>
      <c r="Q26" s="72"/>
      <c r="R26" s="73"/>
      <c r="S26" s="6"/>
      <c r="T26" s="6"/>
      <c r="U26" s="6"/>
      <c r="V26" s="6"/>
    </row>
    <row r="27" spans="1:22" x14ac:dyDescent="0.15">
      <c r="A27" s="6"/>
      <c r="B27" s="44"/>
      <c r="C27" s="44"/>
      <c r="D27" s="74" t="s">
        <v>45</v>
      </c>
      <c r="E27" s="74"/>
      <c r="F27" s="19" t="s">
        <v>46</v>
      </c>
      <c r="G27" s="20">
        <v>298</v>
      </c>
      <c r="H27" s="6"/>
      <c r="I27" s="74" t="s">
        <v>18</v>
      </c>
      <c r="J27" s="74"/>
      <c r="K27" s="74"/>
      <c r="L27" s="19" t="s">
        <v>20</v>
      </c>
      <c r="M27" s="12">
        <f>IF(AND(M26&lt;&gt;""),M26+LOOKUP(9E+307,12:12),"")</f>
        <v>-45.614574719691227</v>
      </c>
      <c r="N27" s="6"/>
      <c r="O27" s="71" t="s">
        <v>23</v>
      </c>
      <c r="P27" s="72"/>
      <c r="Q27" s="72"/>
      <c r="R27" s="73"/>
      <c r="S27" s="6"/>
      <c r="T27" s="6"/>
      <c r="U27" s="6"/>
      <c r="V27" s="6"/>
    </row>
    <row r="28" spans="1:22" x14ac:dyDescent="0.15">
      <c r="A28" s="6"/>
      <c r="B28" s="44"/>
      <c r="C28" s="44"/>
      <c r="D28" s="74" t="s">
        <v>12</v>
      </c>
      <c r="E28" s="74"/>
      <c r="F28" s="19" t="s">
        <v>1</v>
      </c>
      <c r="G28" s="20">
        <v>10</v>
      </c>
      <c r="H28" s="6"/>
      <c r="I28" s="74" t="s">
        <v>50</v>
      </c>
      <c r="J28" s="74"/>
      <c r="K28" s="74"/>
      <c r="L28" s="19" t="s">
        <v>1</v>
      </c>
      <c r="M28" s="12">
        <f>G23-M26</f>
        <v>47.714574719691228</v>
      </c>
      <c r="N28" s="6"/>
      <c r="O28" s="71" t="s">
        <v>35</v>
      </c>
      <c r="P28" s="72"/>
      <c r="Q28" s="72"/>
      <c r="R28" s="73"/>
      <c r="S28" s="6"/>
      <c r="T28" s="6"/>
      <c r="U28" s="6"/>
      <c r="V28" s="6"/>
    </row>
    <row r="29" spans="1:22" x14ac:dyDescent="0.15">
      <c r="A29" s="6"/>
      <c r="B29" s="44"/>
      <c r="C29" s="44"/>
      <c r="D29" s="74" t="s">
        <v>28</v>
      </c>
      <c r="E29" s="74"/>
      <c r="F29" s="19"/>
      <c r="G29" s="20" t="s">
        <v>116</v>
      </c>
      <c r="H29" s="47"/>
      <c r="I29" s="74" t="s">
        <v>27</v>
      </c>
      <c r="J29" s="74"/>
      <c r="K29" s="74"/>
      <c r="L29" s="19"/>
      <c r="M29" s="18" t="str">
        <f>IF(G29="是",IF(LOOKUP(9E+307,17:17)&gt;G31,"起控","未起控"),"无效")</f>
        <v>无效</v>
      </c>
      <c r="N29" s="6"/>
      <c r="O29" s="6"/>
      <c r="P29" s="6"/>
      <c r="Q29" s="6"/>
      <c r="R29" s="6"/>
      <c r="S29" s="6"/>
      <c r="T29" s="6"/>
      <c r="U29" s="6"/>
      <c r="V29" s="6"/>
    </row>
    <row r="30" spans="1:22" x14ac:dyDescent="0.15">
      <c r="A30" s="6"/>
      <c r="B30" s="6"/>
      <c r="C30" s="6"/>
      <c r="D30" s="74" t="s">
        <v>60</v>
      </c>
      <c r="E30" s="74"/>
      <c r="F30" s="19"/>
      <c r="G30" s="20">
        <v>6</v>
      </c>
      <c r="H30" s="6"/>
      <c r="I30" s="74" t="s">
        <v>32</v>
      </c>
      <c r="J30" s="74"/>
      <c r="K30" s="74"/>
      <c r="L30" s="19" t="s">
        <v>1</v>
      </c>
      <c r="M30" s="12">
        <f>LOOKUP(9E+307,17:17)-G31</f>
        <v>-14.899999999999991</v>
      </c>
      <c r="N30" s="6"/>
      <c r="O30" s="6"/>
      <c r="P30" s="6"/>
      <c r="Q30" s="6"/>
      <c r="R30" s="6"/>
      <c r="S30" s="6"/>
      <c r="T30" s="6"/>
      <c r="U30" s="6"/>
      <c r="V30" s="6"/>
    </row>
    <row r="31" spans="1:22" x14ac:dyDescent="0.15">
      <c r="A31" s="6"/>
      <c r="B31" s="6"/>
      <c r="C31" s="6"/>
      <c r="D31" s="74" t="s">
        <v>47</v>
      </c>
      <c r="E31" s="74"/>
      <c r="F31" s="19" t="s">
        <v>3</v>
      </c>
      <c r="G31" s="20">
        <v>17</v>
      </c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</row>
    <row r="32" spans="1:22" x14ac:dyDescent="0.15">
      <c r="A32" s="6"/>
      <c r="B32" s="6"/>
      <c r="C32" s="6"/>
      <c r="D32" s="6" t="s">
        <v>68</v>
      </c>
      <c r="E32" s="6"/>
      <c r="F32" s="6"/>
      <c r="G32" s="6">
        <v>65</v>
      </c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</row>
    <row r="33" spans="1:22" x14ac:dyDescent="0.15">
      <c r="A33" s="6"/>
      <c r="B33" s="6"/>
      <c r="C33" s="6"/>
      <c r="D33" s="44"/>
      <c r="E33" s="44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</row>
    <row r="34" spans="1:22" x14ac:dyDescent="0.15">
      <c r="A34" s="6"/>
      <c r="B34" s="6"/>
      <c r="C34" s="6"/>
      <c r="D34" s="44"/>
      <c r="E34" s="44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</row>
    <row r="35" spans="1:22" x14ac:dyDescent="0.15">
      <c r="A35" s="6"/>
      <c r="B35" s="6"/>
      <c r="C35" s="6"/>
      <c r="D35" s="44"/>
      <c r="E35" s="44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</row>
    <row r="36" spans="1:22" x14ac:dyDescent="0.15">
      <c r="C36" s="6"/>
      <c r="D36" s="44"/>
      <c r="E36" s="44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</row>
    <row r="37" spans="1:22" x14ac:dyDescent="0.15">
      <c r="D37" s="44"/>
      <c r="E37" s="44"/>
      <c r="F37" s="6"/>
      <c r="G37" s="6"/>
    </row>
    <row r="38" spans="1:22" x14ac:dyDescent="0.15">
      <c r="D38" s="44"/>
      <c r="E38" s="44"/>
    </row>
    <row r="39" spans="1:22" x14ac:dyDescent="0.15">
      <c r="D39" s="44"/>
      <c r="E39" s="44"/>
    </row>
  </sheetData>
  <mergeCells count="27">
    <mergeCell ref="I29:K29"/>
    <mergeCell ref="D25:E25"/>
    <mergeCell ref="D26:E26"/>
    <mergeCell ref="D27:E27"/>
    <mergeCell ref="D30:E30"/>
    <mergeCell ref="I30:K30"/>
    <mergeCell ref="D24:E24"/>
    <mergeCell ref="D22:G22"/>
    <mergeCell ref="D28:E28"/>
    <mergeCell ref="D29:E29"/>
    <mergeCell ref="D31:E31"/>
    <mergeCell ref="B1:C3"/>
    <mergeCell ref="O22:R22"/>
    <mergeCell ref="I22:M22"/>
    <mergeCell ref="O27:R27"/>
    <mergeCell ref="O28:R28"/>
    <mergeCell ref="I27:K27"/>
    <mergeCell ref="I28:K28"/>
    <mergeCell ref="I23:K23"/>
    <mergeCell ref="I24:K24"/>
    <mergeCell ref="I26:K26"/>
    <mergeCell ref="I25:K25"/>
    <mergeCell ref="O25:R25"/>
    <mergeCell ref="O23:R23"/>
    <mergeCell ref="O24:R24"/>
    <mergeCell ref="O26:R26"/>
    <mergeCell ref="D23:E23"/>
  </mergeCells>
  <phoneticPr fontId="1" type="noConversion"/>
  <conditionalFormatting sqref="D18:R18">
    <cfRule type="cellIs" dxfId="135" priority="75" operator="lessThan">
      <formula>$G24</formula>
    </cfRule>
  </conditionalFormatting>
  <conditionalFormatting sqref="D5:R11">
    <cfRule type="expression" dxfId="134" priority="43">
      <formula>D$4=FALSE</formula>
    </cfRule>
  </conditionalFormatting>
  <conditionalFormatting sqref="M29">
    <cfRule type="cellIs" dxfId="133" priority="28" operator="equal">
      <formula>"未起控"</formula>
    </cfRule>
    <cfRule type="cellIs" dxfId="132" priority="41" operator="equal">
      <formula>"起控"</formula>
    </cfRule>
  </conditionalFormatting>
  <conditionalFormatting sqref="D12:R20">
    <cfRule type="expression" dxfId="131" priority="9">
      <formula>D$4=FALSE</formula>
    </cfRule>
  </conditionalFormatting>
  <conditionalFormatting sqref="D4:I4 K4:R4">
    <cfRule type="cellIs" dxfId="130" priority="26" operator="equal">
      <formula>FALSE</formula>
    </cfRule>
    <cfRule type="cellIs" dxfId="129" priority="27" operator="equal">
      <formula>TRUE</formula>
    </cfRule>
  </conditionalFormatting>
  <conditionalFormatting sqref="J4">
    <cfRule type="cellIs" dxfId="128" priority="18" operator="equal">
      <formula>FALSE</formula>
    </cfRule>
    <cfRule type="cellIs" dxfId="127" priority="19" operator="equal">
      <formula>TRUE</formula>
    </cfRule>
  </conditionalFormatting>
  <conditionalFormatting sqref="N13">
    <cfRule type="expression" dxfId="126" priority="6" stopIfTrue="1">
      <formula>$H$24&lt;0</formula>
    </cfRule>
    <cfRule type="expression" dxfId="125" priority="7">
      <formula>$H$24&gt;0</formula>
    </cfRule>
  </conditionalFormatting>
  <dataValidations count="26">
    <dataValidation type="list" allowBlank="1" showInputMessage="1" showErrorMessage="1" sqref="R5">
      <formula1>种类</formula1>
    </dataValidation>
    <dataValidation type="list" allowBlank="1" showInputMessage="1" showErrorMessage="1" sqref="H7:R7">
      <formula1>频率</formula1>
    </dataValidation>
    <dataValidation type="list" allowBlank="1" showInputMessage="1" showErrorMessage="1" sqref="Q5">
      <formula1>"衰减器,放大器,LNA,混频器,LC滤波器,声表滤波器,隔离器,双工器,,"</formula1>
    </dataValidation>
    <dataValidation type="list" allowBlank="1" showInputMessage="1" showErrorMessage="1" sqref="Q6:R6">
      <formula1>"8dB,5dB,2dB,pe4302,0Ω,hsmp-3814,"</formula1>
    </dataValidation>
    <dataValidation type="list" allowBlank="1" showInputMessage="1" showErrorMessage="1" sqref="P6">
      <formula1>"射频声表,"</formula1>
    </dataValidation>
    <dataValidation type="list" allowBlank="1" showInputMessage="1" showErrorMessage="1" sqref="F29">
      <formula1>#REF!</formula1>
    </dataValidation>
    <dataValidation type="list" allowBlank="1" showInputMessage="1" showErrorMessage="1" sqref="G29">
      <formula1>"是,否"</formula1>
    </dataValidation>
    <dataValidation type="whole" allowBlank="1" showInputMessage="1" showErrorMessage="1" sqref="G23">
      <formula1>-90</formula1>
      <formula2>10</formula2>
    </dataValidation>
    <dataValidation type="list" allowBlank="1" showInputMessage="1" showErrorMessage="1" sqref="L5:P5">
      <formula1>"衰减器,放大器,LNA,混频器,LC滤波器,声表滤波器,隔离器,多工器,双工器,开关,"</formula1>
    </dataValidation>
    <dataValidation type="list" allowBlank="1" showInputMessage="1" showErrorMessage="1" sqref="O6">
      <formula1>"AS186-302,"</formula1>
    </dataValidation>
    <dataValidation type="list" allowBlank="1" showInputMessage="1" showErrorMessage="1" sqref="L6">
      <formula1>"8dB,6dB,5dB,2dB,pe4302,0Ω,hsmp3866_0,hsmp3866_10,hsmp3866_20,"</formula1>
    </dataValidation>
    <dataValidation type="list" allowBlank="1" showInputMessage="1" showErrorMessage="1" sqref="M6:N6">
      <formula1>"mga43528,mga43628,PW210,PW290,SGA6389,BG18C,PNH15,AH1,AH102,SKY65162-70LF,SXB-4089,ECG003,"</formula1>
    </dataValidation>
    <dataValidation type="list" allowBlank="1" showInputMessage="1" showErrorMessage="1" sqref="I6 F6">
      <formula1>"est.,"</formula1>
    </dataValidation>
    <dataValidation type="list" allowBlank="1" showInputMessage="1" showErrorMessage="1" sqref="K5">
      <formula1>"衰减器,放大器,LNA,,混频器,LC滤波器,声表滤波器,隔离器,多工器,双工器,开关,Cable,Diplexer,Duplexer,Trace loss,Tranceiver,"</formula1>
    </dataValidation>
    <dataValidation type="list" allowBlank="1" showInputMessage="1" showErrorMessage="1" sqref="J6:K6">
      <formula1>"WTR3925,"</formula1>
    </dataValidation>
    <dataValidation type="list" allowBlank="1" showInputMessage="1" showErrorMessage="1" sqref="H5">
      <formula1>"衰减器,放大器,LNA,混频器,LC滤波器,声表滤波器,隔离器,多工器,双工器,开关,Cable,Diplexer,Duplexer,balun,Trace loss,Tranceiver,Filter,Switcher,Tx module,Multiplexer,"</formula1>
    </dataValidation>
    <dataValidation type="list" allowBlank="1" showInputMessage="1" showErrorMessage="1" sqref="H6">
      <formula1>"RTC8612H,AS186-302,QFE1045,QFE1040,QFE1035,"</formula1>
    </dataValidation>
    <dataValidation type="list" allowBlank="1" showInputMessage="1" showErrorMessage="1" sqref="I5:J5 G5 E5:F5">
      <formula1>"衰减器,放大器,混频器,LC滤波器,声表滤波器,隔离器,多工器,双工器,Cable,Diplexer,Duplexer,balun,Trace loss,Tranceiver,Filter,Switcher,Tx module,Multiplexer,LNA,PA,"</formula1>
    </dataValidation>
    <dataValidation type="list" allowBlank="1" showInputMessage="1" showErrorMessage="1" sqref="D6">
      <formula1>"QM57508,RF5212A,"</formula1>
    </dataValidation>
    <dataValidation type="list" allowBlank="1" showInputMessage="1" showErrorMessage="1" sqref="E6">
      <formula1>"SAYEY1G95GA0F0A(B1),SAYEY1G74BC0B0A(B3),SFX836CYA02(B5),SAYEY2G53BC0F0A(B7),SAYEY2G53BA0F0A(B7),SAYEY897MBG0F0A(B8),SAYEY897MBA0B0A(B8),SAYEY806MBA0F0A(B20),SAYEY806MBC0F0A(B20),SFX718BYJ02(B28A),SFX733BYJ02(B28B),"</formula1>
    </dataValidation>
    <dataValidation type="list" allowBlank="1" showInputMessage="1" showErrorMessage="1" sqref="G6">
      <formula1>"WTR3925,WTR2965,"</formula1>
    </dataValidation>
    <dataValidation type="list" allowBlank="1" showInputMessage="1" showErrorMessage="1" sqref="D5">
      <formula1>"衰减器,LC滤波器,Cable,Diplexer,Duplexer,balun,Trace loss,Tranceiver,Filter,Switcher,Tx module,Multiplexer,LNA,PA,0,"</formula1>
    </dataValidation>
    <dataValidation type="list" allowBlank="1" showInputMessage="1" showErrorMessage="1" sqref="E7">
      <formula1>"2110 - 2170,"</formula1>
    </dataValidation>
    <dataValidation type="list" allowBlank="1" showInputMessage="1" showErrorMessage="1" sqref="D7">
      <formula1>"ANT L,ANT M,ANT H,"</formula1>
    </dataValidation>
    <dataValidation type="list" allowBlank="1" showInputMessage="1" showErrorMessage="1" sqref="F7">
      <formula1>"700-1000,1700-2200,2400-2700,"</formula1>
    </dataValidation>
    <dataValidation type="list" allowBlank="1" showInputMessage="1" showErrorMessage="1" sqref="G7">
      <formula1>"LTE(LB),LTE(MB),LTE(HB),"</formula1>
    </dataValidation>
  </dataValidations>
  <pageMargins left="0.7" right="0.7" top="0.75" bottom="0.75" header="0.3" footer="0.3"/>
  <pageSetup paperSize="9" scale="49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34" r:id="rId4" name="交换">
          <controlPr autoLine="0" r:id="rId5">
            <anchor moveWithCells="1">
              <from>
                <xdr:col>0</xdr:col>
                <xdr:colOff>66675</xdr:colOff>
                <xdr:row>2</xdr:row>
                <xdr:rowOff>200025</xdr:rowOff>
              </from>
              <to>
                <xdr:col>1</xdr:col>
                <xdr:colOff>0</xdr:colOff>
                <xdr:row>4</xdr:row>
                <xdr:rowOff>57150</xdr:rowOff>
              </to>
            </anchor>
          </controlPr>
        </control>
      </mc:Choice>
      <mc:Fallback>
        <control shapeId="1134" r:id="rId4" name="交换"/>
      </mc:Fallback>
    </mc:AlternateContent>
    <mc:AlternateContent xmlns:mc="http://schemas.openxmlformats.org/markup-compatibility/2006">
      <mc:Choice Requires="x14">
        <control shapeId="1136" r:id="rId6" name="stage2">
          <controlPr autoLine="0" r:id="rId7">
            <anchor moveWithCells="1">
              <from>
                <xdr:col>0</xdr:col>
                <xdr:colOff>66675</xdr:colOff>
                <xdr:row>5</xdr:row>
                <xdr:rowOff>104775</xdr:rowOff>
              </from>
              <to>
                <xdr:col>1</xdr:col>
                <xdr:colOff>0</xdr:colOff>
                <xdr:row>6</xdr:row>
                <xdr:rowOff>76200</xdr:rowOff>
              </to>
            </anchor>
          </controlPr>
        </control>
      </mc:Choice>
      <mc:Fallback>
        <control shapeId="1136" r:id="rId6" name="stage2"/>
      </mc:Fallback>
    </mc:AlternateContent>
    <mc:AlternateContent xmlns:mc="http://schemas.openxmlformats.org/markup-compatibility/2006">
      <mc:Choice Requires="x14">
        <control shapeId="1138" r:id="rId8" name="stage_num_set">
          <controlPr autoLine="0" r:id="rId9">
            <anchor moveWithCells="1">
              <from>
                <xdr:col>0</xdr:col>
                <xdr:colOff>66675</xdr:colOff>
                <xdr:row>8</xdr:row>
                <xdr:rowOff>38100</xdr:rowOff>
              </from>
              <to>
                <xdr:col>1</xdr:col>
                <xdr:colOff>0</xdr:colOff>
                <xdr:row>9</xdr:row>
                <xdr:rowOff>114300</xdr:rowOff>
              </to>
            </anchor>
          </controlPr>
        </control>
      </mc:Choice>
      <mc:Fallback>
        <control shapeId="1138" r:id="rId8" name="stage_num_set"/>
      </mc:Fallback>
    </mc:AlternateContent>
    <mc:AlternateContent xmlns:mc="http://schemas.openxmlformats.org/markup-compatibility/2006">
      <mc:Choice Requires="x14">
        <control shapeId="1139" r:id="rId10" name="stage_num">
          <controlPr autoLine="0" r:id="rId11">
            <anchor moveWithCells="1">
              <from>
                <xdr:col>0</xdr:col>
                <xdr:colOff>66675</xdr:colOff>
                <xdr:row>9</xdr:row>
                <xdr:rowOff>114300</xdr:rowOff>
              </from>
              <to>
                <xdr:col>1</xdr:col>
                <xdr:colOff>0</xdr:colOff>
                <xdr:row>10</xdr:row>
                <xdr:rowOff>152400</xdr:rowOff>
              </to>
            </anchor>
          </controlPr>
        </control>
      </mc:Choice>
      <mc:Fallback>
        <control shapeId="1139" r:id="rId10" name="stage_num"/>
      </mc:Fallback>
    </mc:AlternateContent>
    <mc:AlternateContent xmlns:mc="http://schemas.openxmlformats.org/markup-compatibility/2006">
      <mc:Choice Requires="x14">
        <control shapeId="1140" r:id="rId12" name="stage1">
          <controlPr autoLine="0" r:id="rId13">
            <anchor moveWithCells="1">
              <from>
                <xdr:col>0</xdr:col>
                <xdr:colOff>66675</xdr:colOff>
                <xdr:row>4</xdr:row>
                <xdr:rowOff>57150</xdr:rowOff>
              </from>
              <to>
                <xdr:col>1</xdr:col>
                <xdr:colOff>0</xdr:colOff>
                <xdr:row>5</xdr:row>
                <xdr:rowOff>104775</xdr:rowOff>
              </to>
            </anchor>
          </controlPr>
        </control>
      </mc:Choice>
      <mc:Fallback>
        <control shapeId="1140" r:id="rId12" name="stage1"/>
      </mc:Fallback>
    </mc:AlternateContent>
    <mc:AlternateContent xmlns:mc="http://schemas.openxmlformats.org/markup-compatibility/2006">
      <mc:Choice Requires="x14">
        <control shapeId="1045" r:id="rId14" name="Check Box 21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15" name="Check Box 52">
          <controlPr defaultSize="0" autoFill="0" autoLine="0" autoPict="0" macro="[0]!复选框10_Click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7" r:id="rId16" name="Check Box 53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17" name="Check Box 56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18" name="Check Box 57">
          <controlPr defaultSize="0" autoFill="0" autoLine="0" autoPict="0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19" name="Check Box 58">
          <controlPr defaultSize="0" autoFill="0" autoLine="0" autoPict="0" macro="[0]!复选框10_Click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20" name="Check Box 59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21" name="Check Box 60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22" name="Check Box 61">
          <controlPr defaultSize="0" autoFill="0" autoLine="0" autoPict="0" macro="[0]!复选框10_Click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23" name="Check Box 62">
          <controlPr defaultSize="0" autoFill="0" autoLine="0" autoPict="0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4" name="Check Box 20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25" name="Check Box 49">
          <controlPr defaultSize="0" autoFill="0" autoLine="0" autoPict="0" macro="[0]!复选框10_Click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26" name="Check Box 50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5" r:id="rId27" name="Check Box 51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28" name="Check Box 16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29" name="Check Box 17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30" name="Check Box 18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31" name="Check Box 19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32" name="Check Box 37">
          <controlPr defaultSize="0" autoFill="0" autoLine="0" autoPict="0" macro="[0]!复选框10_Click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33" name="Check Box 38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34" name="Check Box 39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35" name="Check Box 40">
          <controlPr defaultSize="0" autoFill="0" autoLine="0" autoPict="0" macro="[0]!复选框10_Click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36" name="Check Box 41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6" r:id="rId37" name="Check Box 42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38" name="Check Box 43">
          <controlPr defaultSize="0" autoFill="0" autoLine="0" autoPict="0" macro="[0]!复选框10_Click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39" name="Check Box 44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9" r:id="rId40" name="Check Box 45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0" r:id="rId41" name="Check Box 46">
          <controlPr defaultSize="0" autoFill="0" autoLine="0" autoPict="0" macro="[0]!复选框10_Click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42" name="Check Box 47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43" name="Check Box 48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44" name="Check Box 13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45" name="Check Box 14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46" name="Check Box 15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47" name="Check Box 28">
          <controlPr defaultSize="0" autoFill="0" autoLine="0" autoPict="0" macro="[0]!复选框10_Click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48" name="Check Box 29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49" name="Check Box 30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50" name="Check Box 31">
          <controlPr defaultSize="0" autoFill="0" autoLine="0" autoPict="0" macro="[0]!复选框10_Click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51" name="Check Box 32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52" name="Check Box 33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53" name="Check Box 34">
          <controlPr defaultSize="0" autoFill="0" autoLine="0" autoPict="0" macro="[0]!复选框10_Click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54" name="Check Box 35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55" name="Check Box 36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56" name="Check Box 55">
          <controlPr defaultSize="0" autoFill="0" autoLine="0" autoPict="0" altText="启用">
            <anchor moveWithCells="1">
              <from>
                <xdr:col>3</xdr:col>
                <xdr:colOff>152400</xdr:colOff>
                <xdr:row>2</xdr:row>
                <xdr:rowOff>200025</xdr:rowOff>
              </from>
              <to>
                <xdr:col>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0" r:id="rId57" name="Check Box 66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58" name="Check Box 67">
          <controlPr defaultSize="0" autoFill="0" autoLine="0" autoPict="0" macro="[0]!复选框10_Click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59" name="Check Box 68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60" name="Check Box 69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61" name="Check Box 11">
          <controlPr defaultSize="0" autoFill="0" autoLine="0" autoPict="0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62" name="Check Box 12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63" name="Check Box 23">
          <controlPr defaultSize="0" autoFill="0" autoLine="0" autoPict="0" macro="[0]!复选框10_Click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64" name="Check Box 24">
          <controlPr defaultSize="0" autoFill="0" autoLine="0" autoPict="0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65" name="Check Box 25">
          <controlPr defaultSize="0" autoFill="0" autoLine="0" autoPict="0" macro="[0]!复选框10_Click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66" name="Check Box 26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67" name="Check Box 27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68" name="Check Box 10">
          <controlPr defaultSize="0" autoFill="0" autoLine="0" autoPict="0" macro="[0]!复选框10_Click" altText="启用">
            <anchor moveWithCells="1">
              <from>
                <xdr:col>4</xdr:col>
                <xdr:colOff>152400</xdr:colOff>
                <xdr:row>2</xdr:row>
                <xdr:rowOff>200025</xdr:rowOff>
              </from>
              <to>
                <xdr:col>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69" name="Check Box 22">
          <controlPr defaultSize="0" autoFill="0" autoLine="0" autoPict="0" altText="启用">
            <anchor moveWithCells="1">
              <from>
                <xdr:col>4</xdr:col>
                <xdr:colOff>152400</xdr:colOff>
                <xdr:row>2</xdr:row>
                <xdr:rowOff>200025</xdr:rowOff>
              </from>
              <to>
                <xdr:col>4</xdr:col>
                <xdr:colOff>819150</xdr:colOff>
                <xdr:row>4</xdr:row>
                <xdr:rowOff>19050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Y39"/>
  <sheetViews>
    <sheetView showGridLines="0" zoomScale="106" zoomScaleNormal="106" workbookViewId="0">
      <pane xSplit="3" topLeftCell="D1" activePane="topRight" state="frozen"/>
      <selection pane="topRight" activeCell="D7" sqref="D7"/>
    </sheetView>
  </sheetViews>
  <sheetFormatPr defaultRowHeight="16.5" x14ac:dyDescent="0.15"/>
  <cols>
    <col min="1" max="1" width="9" style="2"/>
    <col min="2" max="2" width="16.75" style="2" customWidth="1"/>
    <col min="3" max="3" width="6" style="2" bestFit="1" customWidth="1"/>
    <col min="4" max="4" width="19.375" style="2" customWidth="1"/>
    <col min="5" max="5" width="23.5" style="2" bestFit="1" customWidth="1"/>
    <col min="6" max="6" width="20.125" style="2" bestFit="1" customWidth="1"/>
    <col min="7" max="7" width="22.5" style="2" customWidth="1"/>
    <col min="8" max="18" width="12.625" style="2" customWidth="1"/>
    <col min="19" max="16384" width="9" style="2"/>
  </cols>
  <sheetData>
    <row r="1" spans="1:25" ht="45.75" customHeight="1" x14ac:dyDescent="0.15">
      <c r="A1" s="6"/>
      <c r="B1" s="63" t="s">
        <v>61</v>
      </c>
      <c r="C1" s="63"/>
      <c r="D1" s="6"/>
      <c r="E1" s="44"/>
      <c r="F1" s="44"/>
      <c r="G1" s="44"/>
      <c r="H1" s="44"/>
      <c r="I1" s="44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</row>
    <row r="2" spans="1:25" ht="16.5" customHeight="1" x14ac:dyDescent="0.15">
      <c r="A2" s="44"/>
      <c r="B2" s="63"/>
      <c r="C2" s="63"/>
      <c r="D2" s="6">
        <f>数据源!J5</f>
        <v>0</v>
      </c>
      <c r="E2" s="6"/>
      <c r="F2" s="6"/>
      <c r="G2" s="6"/>
      <c r="H2" s="44"/>
      <c r="I2" s="44"/>
      <c r="J2" s="44"/>
      <c r="K2" s="44"/>
      <c r="L2" s="6"/>
      <c r="M2" s="6"/>
      <c r="N2" s="6"/>
      <c r="O2" s="6"/>
      <c r="P2" s="6"/>
      <c r="Q2" s="6"/>
      <c r="R2" s="6"/>
      <c r="S2" s="6"/>
      <c r="T2" s="6"/>
      <c r="U2" s="6"/>
      <c r="V2" s="6"/>
    </row>
    <row r="3" spans="1:25" ht="16.5" customHeight="1" x14ac:dyDescent="0.15">
      <c r="A3" s="44"/>
      <c r="B3" s="64"/>
      <c r="C3" s="64"/>
      <c r="D3" s="25">
        <v>1</v>
      </c>
      <c r="E3" s="25">
        <v>2</v>
      </c>
      <c r="F3" s="25">
        <v>3</v>
      </c>
      <c r="G3" s="25">
        <v>4</v>
      </c>
      <c r="H3" s="25">
        <v>5</v>
      </c>
      <c r="I3" s="25">
        <v>6</v>
      </c>
      <c r="J3" s="25">
        <v>7</v>
      </c>
      <c r="K3" s="25">
        <v>8</v>
      </c>
      <c r="L3" s="25">
        <v>9</v>
      </c>
      <c r="M3" s="25">
        <v>10</v>
      </c>
      <c r="N3" s="25">
        <v>11</v>
      </c>
      <c r="O3" s="25">
        <v>12</v>
      </c>
      <c r="P3" s="25">
        <v>13</v>
      </c>
      <c r="Q3" s="25">
        <v>14</v>
      </c>
      <c r="R3" s="25">
        <v>15</v>
      </c>
      <c r="S3" s="6"/>
      <c r="T3" s="6"/>
      <c r="U3" s="6"/>
      <c r="V3" s="44"/>
      <c r="W3" s="44"/>
      <c r="X3" s="44"/>
      <c r="Y3" s="44"/>
    </row>
    <row r="4" spans="1:25" x14ac:dyDescent="0.15">
      <c r="A4" s="44"/>
      <c r="B4" s="25"/>
      <c r="C4" s="28" t="b">
        <v>1</v>
      </c>
      <c r="D4" s="23" t="b">
        <v>1</v>
      </c>
      <c r="E4" s="24" t="b">
        <v>1</v>
      </c>
      <c r="F4" s="24" t="b">
        <v>1</v>
      </c>
      <c r="G4" s="24" t="b">
        <v>1</v>
      </c>
      <c r="H4" s="24" t="b">
        <v>0</v>
      </c>
      <c r="I4" s="24" t="b">
        <v>0</v>
      </c>
      <c r="J4" s="24" t="b">
        <v>0</v>
      </c>
      <c r="K4" s="24" t="b">
        <v>0</v>
      </c>
      <c r="L4" s="24" t="b">
        <v>0</v>
      </c>
      <c r="M4" s="24" t="b">
        <v>0</v>
      </c>
      <c r="N4" s="24" t="b">
        <v>0</v>
      </c>
      <c r="O4" s="24" t="b">
        <v>0</v>
      </c>
      <c r="P4" s="24" t="b">
        <v>0</v>
      </c>
      <c r="Q4" s="24" t="b">
        <v>0</v>
      </c>
      <c r="R4" s="24" t="b">
        <v>0</v>
      </c>
      <c r="S4" s="44"/>
      <c r="T4" s="44"/>
      <c r="U4" s="44"/>
      <c r="V4" s="44"/>
      <c r="W4" s="44"/>
      <c r="X4" s="44"/>
      <c r="Y4" s="44"/>
    </row>
    <row r="5" spans="1:25" s="4" customFormat="1" x14ac:dyDescent="0.15">
      <c r="A5" s="44"/>
      <c r="B5" s="25" t="s">
        <v>24</v>
      </c>
      <c r="C5" s="26"/>
      <c r="D5" s="21" t="s">
        <v>83</v>
      </c>
      <c r="E5" s="21" t="s">
        <v>79</v>
      </c>
      <c r="F5" s="21" t="s">
        <v>101</v>
      </c>
      <c r="G5" s="21" t="s">
        <v>109</v>
      </c>
      <c r="H5" s="21" t="s">
        <v>99</v>
      </c>
      <c r="I5" s="21" t="s">
        <v>109</v>
      </c>
      <c r="J5" s="21" t="s">
        <v>112</v>
      </c>
      <c r="K5" s="21" t="s">
        <v>77</v>
      </c>
      <c r="L5" s="21" t="s">
        <v>29</v>
      </c>
      <c r="M5" s="21" t="s">
        <v>30</v>
      </c>
      <c r="N5" s="21" t="s">
        <v>30</v>
      </c>
      <c r="O5" s="21" t="s">
        <v>63</v>
      </c>
      <c r="P5" s="21" t="s">
        <v>31</v>
      </c>
      <c r="Q5" s="21" t="s">
        <v>29</v>
      </c>
      <c r="R5" s="21" t="s">
        <v>29</v>
      </c>
      <c r="S5" s="44"/>
      <c r="T5" s="44"/>
      <c r="U5" s="44"/>
      <c r="V5" s="44"/>
      <c r="W5" s="44"/>
      <c r="X5" s="44"/>
      <c r="Y5" s="44"/>
    </row>
    <row r="6" spans="1:25" s="4" customFormat="1" ht="21.75" customHeight="1" x14ac:dyDescent="0.15">
      <c r="A6" s="44"/>
      <c r="B6" s="27" t="s">
        <v>0</v>
      </c>
      <c r="C6" s="26"/>
      <c r="D6" s="45" t="s">
        <v>93</v>
      </c>
      <c r="E6" s="45" t="s">
        <v>147</v>
      </c>
      <c r="F6" s="45" t="s">
        <v>98</v>
      </c>
      <c r="G6" s="45" t="s">
        <v>134</v>
      </c>
      <c r="H6" s="45" t="s">
        <v>100</v>
      </c>
      <c r="I6" s="45" t="s">
        <v>110</v>
      </c>
      <c r="J6" s="45" t="s">
        <v>113</v>
      </c>
      <c r="K6" s="45" t="s">
        <v>78</v>
      </c>
      <c r="L6" s="45" t="s">
        <v>65</v>
      </c>
      <c r="M6" s="45" t="s">
        <v>69</v>
      </c>
      <c r="N6" s="45" t="s">
        <v>66</v>
      </c>
      <c r="O6" s="45" t="s">
        <v>67</v>
      </c>
      <c r="P6" s="45" t="s">
        <v>53</v>
      </c>
      <c r="Q6" s="45" t="s">
        <v>59</v>
      </c>
      <c r="R6" s="45" t="s">
        <v>56</v>
      </c>
      <c r="S6" s="44"/>
      <c r="T6" s="44"/>
      <c r="U6" s="44"/>
      <c r="V6" s="44"/>
      <c r="W6" s="44"/>
      <c r="X6" s="44"/>
      <c r="Y6" s="44"/>
    </row>
    <row r="7" spans="1:25" s="4" customFormat="1" ht="17.25" thickBot="1" x14ac:dyDescent="0.2">
      <c r="A7" s="44"/>
      <c r="B7" s="27" t="s">
        <v>57</v>
      </c>
      <c r="C7" s="28" t="s">
        <v>25</v>
      </c>
      <c r="D7" s="42" t="s">
        <v>84</v>
      </c>
      <c r="E7" s="42" t="s">
        <v>73</v>
      </c>
      <c r="F7" s="42" t="s">
        <v>118</v>
      </c>
      <c r="G7" s="42" t="s">
        <v>111</v>
      </c>
      <c r="H7" s="42" t="s">
        <v>72</v>
      </c>
      <c r="I7" s="42" t="s">
        <v>111</v>
      </c>
      <c r="J7" s="42" t="s">
        <v>114</v>
      </c>
      <c r="K7" s="42" t="s">
        <v>92</v>
      </c>
      <c r="L7" s="42" t="s">
        <v>54</v>
      </c>
      <c r="M7" s="42" t="s">
        <v>64</v>
      </c>
      <c r="N7" s="42" t="s">
        <v>64</v>
      </c>
      <c r="O7" s="42" t="s">
        <v>62</v>
      </c>
      <c r="P7" s="42" t="s">
        <v>62</v>
      </c>
      <c r="Q7" s="42" t="s">
        <v>54</v>
      </c>
      <c r="R7" s="42" t="s">
        <v>54</v>
      </c>
      <c r="S7" s="44"/>
      <c r="T7" s="44"/>
      <c r="U7" s="44"/>
      <c r="V7" s="44"/>
      <c r="W7" s="44"/>
      <c r="X7" s="44"/>
      <c r="Y7" s="44"/>
    </row>
    <row r="8" spans="1:25" ht="17.25" thickTop="1" x14ac:dyDescent="0.15">
      <c r="A8" s="44"/>
      <c r="B8" s="25" t="s">
        <v>58</v>
      </c>
      <c r="C8" s="26" t="s">
        <v>1</v>
      </c>
      <c r="D8" s="15">
        <f>LOOKUP(1,0/((数据源!$A$2:$A$160=D5)*(数据源!$B$2:$B$160=D6)*(数据源!$C$2:$C$160=D7)),数据源!$D$2:$D$160)</f>
        <v>-0.55000000000000004</v>
      </c>
      <c r="E8" s="15">
        <f>LOOKUP(1,0/((数据源!$A$2:$A$160=E5)*(数据源!$B$2:$B$160=E6)*(数据源!$C$2:$C$160=E7)),数据源!$D$2:$D$160)</f>
        <v>-1.6</v>
      </c>
      <c r="F8" s="15">
        <f>LOOKUP(1,0/((数据源!$A$2:$A$160=F5)*(数据源!$B$2:$B$160=F6)*(数据源!$C$2:$C$160=F7)),数据源!$D$2:$D$160)</f>
        <v>-0.8</v>
      </c>
      <c r="G8" s="15">
        <f>LOOKUP(1,0/((数据源!$A$2:$A$160=G5)*(数据源!$B$2:$B$160=G6)*(数据源!$C$2:$C$160=G7)),数据源!$D$2:$D$160)</f>
        <v>56</v>
      </c>
      <c r="H8" s="15">
        <f>LOOKUP(1,0/((数据源!$A$2:$A$160=H5)*(数据源!$B$2:$B$160=H6)*(数据源!$C$2:$C$160=H7)),数据源!$D$2:$D$160)</f>
        <v>15</v>
      </c>
      <c r="I8" s="15">
        <f>LOOKUP(1,0/((数据源!$A$2:$A$160=I5)*(数据源!$B$2:$B$160=I6)*(数据源!$C$2:$C$160=I7)),数据源!$D$2:$D$160)</f>
        <v>56</v>
      </c>
      <c r="J8" s="15">
        <f>LOOKUP(1,0/((数据源!$A$2:$A$160=J5)*(数据源!$B$2:$B$160=J6)*(数据源!$C$2:$C$160=J7)),数据源!$D$2:$D$160)</f>
        <v>-0.7</v>
      </c>
      <c r="K8" s="15">
        <f>LOOKUP(1,0/((数据源!$A$2:$A$160=K5)*(数据源!$B$2:$B$160=K6)*(数据源!$C$2:$C$160=K7)),数据源!$D$2:$D$160)</f>
        <v>56</v>
      </c>
      <c r="L8" s="15">
        <f>LOOKUP(1,0/((数据源!$A$2:$A$160=L5)*(数据源!$B$2:$B$160=L6)*(数据源!$C$2:$C$160=L7)),数据源!$D$2:$D$160)</f>
        <v>-2</v>
      </c>
      <c r="M8" s="15" t="e">
        <f>LOOKUP(1,0/((数据源!$A$2:$A$160=M5)*(数据源!$B$2:$B$160=M6)*(数据源!$C$2:$C$160=M7)),数据源!$D$2:$D$160)</f>
        <v>#N/A</v>
      </c>
      <c r="N8" s="15" t="e">
        <f>LOOKUP(1,0/((数据源!$A$2:$A$160=N5)*(数据源!$B$2:$B$160=N6)*(数据源!$C$2:$C$160=N7)),数据源!$D$2:$D$160)</f>
        <v>#N/A</v>
      </c>
      <c r="O8" s="15" t="e">
        <f>LOOKUP(1,0/((数据源!$A$2:$A$160=O5)*(数据源!$B$2:$B$160=O6)*(数据源!$C$2:$C$160=O7)),数据源!$D$2:$D$160)</f>
        <v>#N/A</v>
      </c>
      <c r="P8" s="15" t="e">
        <f>LOOKUP(1,0/((数据源!$A$2:$A$160=P5)*(数据源!$B$2:$B$160=P6)*(数据源!$C$2:$C$160=P7)),数据源!$D$2:$D$160)</f>
        <v>#N/A</v>
      </c>
      <c r="Q8" s="15">
        <f>LOOKUP(1,0/((数据源!$A$2:$A$160=Q5)*(数据源!$B$2:$B$160=Q6)*(数据源!$C$2:$C$160=Q7)),数据源!$D$2:$D$160)</f>
        <v>-5</v>
      </c>
      <c r="R8" s="15">
        <f>LOOKUP(1,0/((数据源!$A$2:$A$160=R5)*(数据源!$B$2:$B$160=R6)*(数据源!$C$2:$C$160=R7)),数据源!$D$2:$D$160)</f>
        <v>-8</v>
      </c>
      <c r="S8" s="44"/>
      <c r="T8" s="44"/>
      <c r="U8" s="44"/>
      <c r="V8" s="44"/>
      <c r="W8" s="44"/>
      <c r="X8" s="44"/>
      <c r="Y8" s="44"/>
    </row>
    <row r="9" spans="1:25" x14ac:dyDescent="0.15">
      <c r="A9" s="44"/>
      <c r="B9" s="25" t="s">
        <v>2</v>
      </c>
      <c r="C9" s="26" t="s">
        <v>1</v>
      </c>
      <c r="D9" s="12">
        <f>LOOKUP(1,0/((数据源!$A$2:$A$160=D5)*(数据源!$B$2:$B$160=D6)*(数据源!$C$2:$C$160=D7)),数据源!$E$2:$E$160)</f>
        <v>0.55000000000000004</v>
      </c>
      <c r="E9" s="12">
        <f>LOOKUP(1,0/((数据源!$A$2:$A$160=E5)*(数据源!$B$2:$B$160=E6)*(数据源!$C$2:$C$160=E7)),数据源!$E$2:$E$160)</f>
        <v>1.6</v>
      </c>
      <c r="F9" s="12">
        <f>LOOKUP(1,0/((数据源!$A$2:$A$160=F5)*(数据源!$B$2:$B$160=F6)*(数据源!$C$2:$C$160=F7)),数据源!$E$2:$E$160)</f>
        <v>0.8</v>
      </c>
      <c r="G9" s="12">
        <f>LOOKUP(1,0/((数据源!$A$2:$A$160=G5)*(数据源!$B$2:$B$160=G6)*(数据源!$C$2:$C$160=G7)),数据源!$E$2:$E$160)</f>
        <v>2.7</v>
      </c>
      <c r="H9" s="12">
        <f>LOOKUP(1,0/((数据源!$A$2:$A$160=H5)*(数据源!$B$2:$B$160=H6)*(数据源!$C$2:$C$160=H7)),数据源!$E$2:$E$160)</f>
        <v>0.7</v>
      </c>
      <c r="I9" s="12">
        <f>LOOKUP(1,0/((数据源!$A$2:$A$160=I5)*(数据源!$B$2:$B$160=I6)*(数据源!$C$2:$C$160=I7)),数据源!$E$2:$E$160)</f>
        <v>2.7</v>
      </c>
      <c r="J9" s="12">
        <f>LOOKUP(1,0/((数据源!$A$2:$A$160=J5)*(数据源!$B$2:$B$160=J6)*(数据源!$C$2:$C$160=J7)),数据源!$E$2:$E$160)</f>
        <v>0.7</v>
      </c>
      <c r="K9" s="12">
        <f>LOOKUP(1,0/((数据源!$A$2:$A$160=K5)*(数据源!$B$2:$B$160=K6)*(数据源!$C$2:$C$160=K7)),数据源!$E$2:$E$160)</f>
        <v>2.7</v>
      </c>
      <c r="L9" s="12">
        <f>LOOKUP(1,0/((数据源!$A$2:$A$160=L5)*(数据源!$B$2:$B$160=L6)*(数据源!$C$2:$C$160=L7)),数据源!$E$2:$E$160)</f>
        <v>2</v>
      </c>
      <c r="M9" s="12" t="e">
        <f>LOOKUP(1,0/((数据源!$A$2:$A$160=M5)*(数据源!$B$2:$B$160=M6)*(数据源!$C$2:$C$160=M7)),数据源!$E$2:$E$160)</f>
        <v>#N/A</v>
      </c>
      <c r="N9" s="12" t="e">
        <f>LOOKUP(1,0/((数据源!$A$2:$A$160=N5)*(数据源!$B$2:$B$160=N6)*(数据源!$C$2:$C$160=N7)),数据源!$E$2:$E$160)</f>
        <v>#N/A</v>
      </c>
      <c r="O9" s="12" t="e">
        <f>LOOKUP(1,0/((数据源!$A$2:$A$160=O5)*(数据源!$B$2:$B$160=O6)*(数据源!$C$2:$C$160=O7)),数据源!$E$2:$E$160)</f>
        <v>#N/A</v>
      </c>
      <c r="P9" s="12" t="e">
        <f>LOOKUP(1,0/((数据源!$A$2:$A$160=P5)*(数据源!$B$2:$B$160=P6)*(数据源!$C$2:$C$160=P7)),数据源!$E$2:$E$160)</f>
        <v>#N/A</v>
      </c>
      <c r="Q9" s="12">
        <f>LOOKUP(1,0/((数据源!$A$2:$A$160=Q5)*(数据源!$B$2:$B$160=Q6)*(数据源!$C$2:$C$160=Q7)),数据源!$E$2:$E$160)</f>
        <v>5</v>
      </c>
      <c r="R9" s="12">
        <f>LOOKUP(1,0/((数据源!$A$2:$A$160=R5)*(数据源!$B$2:$B$160=R6)*(数据源!$C$2:$C$160=R7)),数据源!$E$2:$E$160)</f>
        <v>8</v>
      </c>
      <c r="S9" s="44"/>
      <c r="T9" s="44"/>
      <c r="U9" s="44"/>
      <c r="V9" s="44"/>
      <c r="W9" s="44"/>
      <c r="X9" s="44"/>
      <c r="Y9" s="44"/>
    </row>
    <row r="10" spans="1:25" x14ac:dyDescent="0.15">
      <c r="A10" s="44"/>
      <c r="B10" s="25" t="s">
        <v>55</v>
      </c>
      <c r="C10" s="26" t="s">
        <v>3</v>
      </c>
      <c r="D10" s="12">
        <f>LOOKUP(1,0/((数据源!$A$2:$A$160=D5)*(数据源!$B$2:$B$160=D6)*(数据源!$C$2:$C$160=D7)),数据源!$F$2:$F$160)</f>
        <v>60</v>
      </c>
      <c r="E10" s="12">
        <f>LOOKUP(1,0/((数据源!$A$2:$A$160=E5)*(数据源!$B$2:$B$160=E6)*(数据源!$C$2:$C$160=E7)),数据源!$F$2:$F$160)</f>
        <v>60</v>
      </c>
      <c r="F10" s="12">
        <f>LOOKUP(1,0/((数据源!$A$2:$A$160=F5)*(数据源!$B$2:$B$160=F6)*(数据源!$C$2:$C$160=F7)),数据源!$F$2:$F$160)</f>
        <v>0</v>
      </c>
      <c r="G10" s="12">
        <f>LOOKUP(1,0/((数据源!$A$2:$A$160=G5)*(数据源!$B$2:$B$160=G6)*(数据源!$C$2:$C$160=G7)),数据源!$F$2:$F$160)</f>
        <v>60</v>
      </c>
      <c r="H10" s="12">
        <f>LOOKUP(1,0/((数据源!$A$2:$A$160=H5)*(数据源!$B$2:$B$160=H6)*(数据源!$C$2:$C$160=H7)),数据源!$F$2:$F$160)</f>
        <v>15</v>
      </c>
      <c r="I10" s="12">
        <f>LOOKUP(1,0/((数据源!$A$2:$A$160=I5)*(数据源!$B$2:$B$160=I6)*(数据源!$C$2:$C$160=I7)),数据源!$F$2:$F$160)</f>
        <v>60</v>
      </c>
      <c r="J10" s="12">
        <f>LOOKUP(1,0/((数据源!$A$2:$A$160=J5)*(数据源!$B$2:$B$160=J6)*(数据源!$C$2:$C$160=J7)),数据源!$F$2:$F$160)</f>
        <v>60</v>
      </c>
      <c r="K10" s="12">
        <f>LOOKUP(1,0/((数据源!$A$2:$A$160=K5)*(数据源!$B$2:$B$160=K6)*(数据源!$C$2:$C$160=K7)),数据源!$F$2:$F$160)</f>
        <v>60</v>
      </c>
      <c r="L10" s="12">
        <f>LOOKUP(1,0/((数据源!$A$2:$A$160=L5)*(数据源!$B$2:$B$160=L6)*(数据源!$C$2:$C$160=L7)),数据源!$F$2:$F$160)</f>
        <v>1000</v>
      </c>
      <c r="M10" s="12" t="e">
        <f>LOOKUP(1,0/((数据源!$A$2:$A$160=M5)*(数据源!$B$2:$B$160=M6)*(数据源!$C$2:$C$160=M7)),数据源!$F$2:$F$160)</f>
        <v>#N/A</v>
      </c>
      <c r="N10" s="12" t="e">
        <f>LOOKUP(1,0/((数据源!$A$2:$A$160=N5)*(数据源!$B$2:$B$160=N6)*(数据源!$C$2:$C$160=N7)),数据源!$F$2:$F$160)</f>
        <v>#N/A</v>
      </c>
      <c r="O10" s="12" t="e">
        <f>LOOKUP(1,0/((数据源!$A$2:$A$160=O5)*(数据源!$B$2:$B$160=O6)*(数据源!$C$2:$C$160=O7)),数据源!$F$2:$F$160)</f>
        <v>#N/A</v>
      </c>
      <c r="P10" s="12" t="e">
        <f>LOOKUP(1,0/((数据源!$A$2:$A$160=P5)*(数据源!$B$2:$B$160=P6)*(数据源!$C$2:$C$160=P7)),数据源!$F$2:$F$160)</f>
        <v>#N/A</v>
      </c>
      <c r="Q10" s="12">
        <f>LOOKUP(1,0/((数据源!$A$2:$A$160=Q5)*(数据源!$B$2:$B$160=Q6)*(数据源!$C$2:$C$160=Q7)),数据源!$F$2:$F$160)</f>
        <v>1000</v>
      </c>
      <c r="R10" s="12">
        <f>LOOKUP(1,0/((数据源!$A$2:$A$160=R5)*(数据源!$B$2:$B$160=R6)*(数据源!$C$2:$C$160=R7)),数据源!$F$2:$F$160)</f>
        <v>1000</v>
      </c>
      <c r="S10" s="44"/>
      <c r="T10" s="44"/>
      <c r="U10" s="44"/>
      <c r="V10" s="44"/>
      <c r="W10" s="44"/>
      <c r="X10" s="44"/>
      <c r="Y10" s="44"/>
    </row>
    <row r="11" spans="1:25" ht="17.25" thickBot="1" x14ac:dyDescent="0.2">
      <c r="A11" s="6"/>
      <c r="B11" s="29" t="s">
        <v>4</v>
      </c>
      <c r="C11" s="30" t="s">
        <v>3</v>
      </c>
      <c r="D11" s="13">
        <f>LOOKUP(1,0/((数据源!$A$2:$A$160=D5)*(数据源!$B$2:$B$160=D6)*(数据源!$C$2:$C$160=D7)),数据源!$G$2:$G$160)</f>
        <v>60</v>
      </c>
      <c r="E11" s="13">
        <f>LOOKUP(1,0/((数据源!$A$2:$A$160=E5)*(数据源!$B$2:$B$160=E6)*(数据源!$C$2:$C$160=E7)),数据源!$G$2:$G$160)</f>
        <v>60</v>
      </c>
      <c r="F11" s="13">
        <f>LOOKUP(1,0/((数据源!$A$2:$A$160=F5)*(数据源!$B$2:$B$160=F6)*(数据源!$C$2:$C$160=F7)),数据源!$G$2:$G$160)</f>
        <v>0</v>
      </c>
      <c r="G11" s="13">
        <f>LOOKUP(1,0/((数据源!$A$2:$A$160=G5)*(数据源!$B$2:$B$160=G6)*(数据源!$C$2:$C$160=G7)),数据源!$G$2:$G$160)</f>
        <v>60</v>
      </c>
      <c r="H11" s="13">
        <f>LOOKUP(1,0/((数据源!$A$2:$A$160=H5)*(数据源!$B$2:$B$160=H6)*(数据源!$C$2:$C$160=H7)),数据源!$G$2:$G$160)</f>
        <v>16</v>
      </c>
      <c r="I11" s="13">
        <f>LOOKUP(1,0/((数据源!$A$2:$A$160=I5)*(数据源!$B$2:$B$160=I6)*(数据源!$C$2:$C$160=I7)),数据源!$G$2:$G$160)</f>
        <v>60</v>
      </c>
      <c r="J11" s="13">
        <f>LOOKUP(1,0/((数据源!$A$2:$A$160=J5)*(数据源!$B$2:$B$160=J6)*(数据源!$C$2:$C$160=J7)),数据源!$G$2:$G$160)</f>
        <v>60</v>
      </c>
      <c r="K11" s="13">
        <f>LOOKUP(1,0/((数据源!$A$2:$A$160=K5)*(数据源!$B$2:$B$160=K6)*(数据源!$C$2:$C$160=K7)),数据源!$G$2:$G$160)</f>
        <v>60</v>
      </c>
      <c r="L11" s="13">
        <f>LOOKUP(1,0/((数据源!$A$2:$A$160=L5)*(数据源!$B$2:$B$160=L6)*(数据源!$C$2:$C$160=L7)),数据源!$G$2:$G$160)</f>
        <v>1000</v>
      </c>
      <c r="M11" s="13" t="e">
        <f>LOOKUP(1,0/((数据源!$A$2:$A$160=M5)*(数据源!$B$2:$B$160=M6)*(数据源!$C$2:$C$160=M7)),数据源!$G$2:$G$160)</f>
        <v>#N/A</v>
      </c>
      <c r="N11" s="13" t="e">
        <f>LOOKUP(1,0/((数据源!$A$2:$A$160=N5)*(数据源!$B$2:$B$160=N6)*(数据源!$C$2:$C$160=N7)),数据源!$G$2:$G$160)</f>
        <v>#N/A</v>
      </c>
      <c r="O11" s="13" t="e">
        <f>LOOKUP(1,0/((数据源!$A$2:$A$160=O5)*(数据源!$B$2:$B$160=O6)*(数据源!$C$2:$C$160=O7)),数据源!$G$2:$G$160)</f>
        <v>#N/A</v>
      </c>
      <c r="P11" s="13" t="e">
        <f>LOOKUP(1,0/((数据源!$A$2:$A$160=P5)*(数据源!$B$2:$B$160=P6)*(数据源!$C$2:$C$160=P7)),数据源!$G$2:$G$160)</f>
        <v>#N/A</v>
      </c>
      <c r="Q11" s="13">
        <f>LOOKUP(1,0/((数据源!$A$2:$A$160=Q5)*(数据源!$B$2:$B$160=Q6)*(数据源!$C$2:$C$160=Q7)),数据源!$G$2:$G$160)</f>
        <v>1000</v>
      </c>
      <c r="R11" s="13">
        <f>LOOKUP(1,0/((数据源!$A$2:$A$160=R5)*(数据源!$B$2:$B$160=R6)*(数据源!$C$2:$C$160=R7)),数据源!$G$2:$G$160)</f>
        <v>1000</v>
      </c>
      <c r="S11" s="44"/>
      <c r="T11" s="44"/>
      <c r="U11" s="44"/>
      <c r="V11" s="44"/>
      <c r="W11" s="44"/>
      <c r="X11" s="44"/>
      <c r="Y11" s="44"/>
    </row>
    <row r="12" spans="1:25" ht="17.25" thickTop="1" x14ac:dyDescent="0.15">
      <c r="A12" s="48">
        <f>M23</f>
        <v>-99.664574719691231</v>
      </c>
      <c r="B12" s="31" t="s">
        <v>5</v>
      </c>
      <c r="C12" s="32" t="s">
        <v>1</v>
      </c>
      <c r="D12" s="14">
        <f>IF(AND(D4&lt;&gt;FALSE,D8&lt;&gt;""),D8,"")</f>
        <v>-0.55000000000000004</v>
      </c>
      <c r="E12" s="11">
        <f>IF(OR($D$4:E$4)=FALSE,"",IF(E$4=FALSE,D12,IF(OR($D$4:D4)=FALSE,E8,E8+D12)))</f>
        <v>-2.1500000000000004</v>
      </c>
      <c r="F12" s="11">
        <f>IF(OR($D$4:F$4)=FALSE,"",IF(F$4=FALSE,E12,IF(OR($D$4:E4)=FALSE,F8,F8+E12)))</f>
        <v>-2.95</v>
      </c>
      <c r="G12" s="11">
        <f>IF(OR($D$4:G$4)=FALSE,"",IF(G$4=FALSE,F12,IF(OR($D$4:F4)=FALSE,G8,G8+F12)))</f>
        <v>53.05</v>
      </c>
      <c r="H12" s="11">
        <f>IF(OR($D$4:H$4)=FALSE,"",IF(H$4=FALSE,G12,IF(OR($D$4:G4)=FALSE,H8,H8+G12)))</f>
        <v>53.05</v>
      </c>
      <c r="I12" s="11">
        <f>IF(OR($D$4:I$4)=FALSE,"",IF(I$4=FALSE,H12,IF(OR($D$4:H4)=FALSE,I8,I8+H12)))</f>
        <v>53.05</v>
      </c>
      <c r="J12" s="11">
        <f>IF(OR($D$4:J$4)=FALSE,"",IF(J$4=FALSE,I12,IF(OR($D$4:I4)=FALSE,J8,J8+I12)))</f>
        <v>53.05</v>
      </c>
      <c r="K12" s="11">
        <f>IF(OR($D$4:K$4)=FALSE,"",IF(K$4=FALSE,J12,IF(OR($D$4:J4)=FALSE,K8,K8+J12)))</f>
        <v>53.05</v>
      </c>
      <c r="L12" s="11">
        <f>IF(OR($D$4:L$4)=FALSE,"",IF(L$4=FALSE,K12,IF(OR($D$4:K4)=FALSE,L8,L8+K12)))</f>
        <v>53.05</v>
      </c>
      <c r="M12" s="11">
        <f>IF(OR($D$4:M$4)=FALSE,"",IF(M$4=FALSE,L12,IF(OR($D$4:L4)=FALSE,M8,M8+L12)))</f>
        <v>53.05</v>
      </c>
      <c r="N12" s="11">
        <f>IF(OR($D$4:N$4)=FALSE,"",IF(N$4=FALSE,M12,IF(OR($D$4:M4)=FALSE,N8,N8+M12)))</f>
        <v>53.05</v>
      </c>
      <c r="O12" s="11">
        <f>IF(OR($D$4:O$4)=FALSE,"",IF(O$4=FALSE,N12,IF(OR($D$4:N4)=FALSE,O8,O8+N12)))</f>
        <v>53.05</v>
      </c>
      <c r="P12" s="11">
        <f>IF(OR($D$4:P$4)=FALSE,"",IF(P$4=FALSE,O12,IF(OR($D$4:O4)=FALSE,P8,P8+O12)))</f>
        <v>53.05</v>
      </c>
      <c r="Q12" s="11">
        <f>IF(OR($D$4:Q$4)=FALSE,"",IF(Q$4=FALSE,P12,IF(OR($D$4:P4)=FALSE,Q8,Q8+P12)))</f>
        <v>53.05</v>
      </c>
      <c r="R12" s="11">
        <f>IF(OR($D$4:R$4)=FALSE,"",IF(R$4=FALSE,Q12,IF(OR($D$4:Q4)=FALSE,R8,R8+Q12)))</f>
        <v>53.05</v>
      </c>
      <c r="S12" s="44"/>
      <c r="T12" s="44"/>
      <c r="U12" s="44"/>
      <c r="V12" s="44"/>
      <c r="W12" s="44"/>
      <c r="X12" s="44"/>
      <c r="Y12" s="44"/>
    </row>
    <row r="13" spans="1:25" x14ac:dyDescent="0.15">
      <c r="A13" s="6"/>
      <c r="B13" s="33" t="s">
        <v>6</v>
      </c>
      <c r="C13" s="34" t="s">
        <v>1</v>
      </c>
      <c r="D13" s="12">
        <f>IF(AND(D4&lt;&gt;FALSE,D9&lt;&gt;""),D9,"")</f>
        <v>0.55000000000000004</v>
      </c>
      <c r="E13" s="10">
        <f>IF(OR($D$4:E$4)=FALSE,"",IF(E$4=FALSE,D13,IF(OR($D$4:D$4)=FALSE,E9,10*LOG(10^(D13/10)+(10^(E9/10)-1)/10^(D12/10)))))</f>
        <v>2.1500000000000004</v>
      </c>
      <c r="F13" s="10">
        <f>IF(OR($D$4:F$4)=FALSE,"",IF(F$4=FALSE,E13,IF(OR($D$4:E$4)=FALSE,F9,10*LOG(10^(E13/10)+(10^(F9/10)-1)/10^(E12/10)))))</f>
        <v>2.95</v>
      </c>
      <c r="G13" s="10">
        <f>IF(OR($D$4:G$4)=FALSE,"",IF(G$4=FALSE,F13,IF(OR($D$4:F$4)=FALSE,G9,10*LOG(10^(F13/10)+(10^(G9/10)-1)/10^(F12/10)))))</f>
        <v>5.65</v>
      </c>
      <c r="H13" s="10">
        <f>IF(OR($D$4:H$4)=FALSE,"",IF(H$4=FALSE,G13,IF(OR($D$4:G$4)=FALSE,H9,10*LOG(10^(G13/10)+(10^(H9/10)-1)/10^(G12/10)))))</f>
        <v>5.65</v>
      </c>
      <c r="I13" s="10">
        <f>IF(OR($D$4:I$4)=FALSE,"",IF(I$4=FALSE,H13,IF(OR($D$4:H$4)=FALSE,I9,10*LOG(10^(H13/10)+(10^(I9/10)-1)/10^(H12/10)))))</f>
        <v>5.65</v>
      </c>
      <c r="J13" s="10">
        <f>IF(OR($D$4:J$4)=FALSE,"",IF(J$4=FALSE,I13,IF(OR($D$4:I$4)=FALSE,J9,10*LOG(10^(I13/10)+(10^(J9/10)-1)/10^(I12/10)))))</f>
        <v>5.65</v>
      </c>
      <c r="K13" s="10">
        <f>IF(OR($D$4:K$4)=FALSE,"",IF(K$4=FALSE,J13,IF(OR($D$4:J$4)=FALSE,K9,10*LOG(10^(J13/10)+(10^(K9/10)-1)/10^(J12/10)))))</f>
        <v>5.65</v>
      </c>
      <c r="L13" s="10">
        <f>IF(OR($D$4:L$4)=FALSE,"",IF(L$4=FALSE,K13,IF(OR($D$4:K$4)=FALSE,L9,10*LOG(10^(K13/10)+(10^(L9/10)-1)/10^(K12/10)))))</f>
        <v>5.65</v>
      </c>
      <c r="M13" s="10">
        <f>IF(OR($D$4:M$4)=FALSE,"",IF(M$4=FALSE,L13,IF(OR($D$4:L$4)=FALSE,M9,10*LOG(10^(L13/10)+(10^(M9/10)-1)/10^(L12/10)))))</f>
        <v>5.65</v>
      </c>
      <c r="N13" s="10">
        <f>IF(OR($D$4:N$4)=FALSE,"",IF(N$4=FALSE,M13,IF(OR($D$4:M$4)=FALSE,N9,10*LOG(10^(M13/10)+(10^(N9/10)-1)/10^(M12/10)))))</f>
        <v>5.65</v>
      </c>
      <c r="O13" s="10">
        <f>IF(OR($D$4:O$4)=FALSE,"",IF(O$4=FALSE,N13,IF(OR($D$4:N$4)=FALSE,O9,10*LOG(10^(N13/10)+(10^(O9/10)-1)/10^(N12/10)))))</f>
        <v>5.65</v>
      </c>
      <c r="P13" s="10">
        <f>IF(OR($D$4:P$4)=FALSE,"",IF(P$4=FALSE,O13,IF(OR($D$4:O$4)=FALSE,P9,10*LOG(10^(O13/10)+(10^(P9/10)-1)/10^(O12/10)))))</f>
        <v>5.65</v>
      </c>
      <c r="Q13" s="10">
        <f>IF(OR($D$4:Q$4)=FALSE,"",IF(Q$4=FALSE,P13,IF(OR($D$4:P$4)=FALSE,Q9,10*LOG(10^(P13/10)+(10^(Q9/10)-1)/10^(P12/10)))))</f>
        <v>5.65</v>
      </c>
      <c r="R13" s="10">
        <f>IF(OR($D$4:R$4)=FALSE,"",IF(R$4=FALSE,Q13,IF(OR($D$4:Q$4)=FALSE,R9,10*LOG(10^(Q13/10)+(10^(R9/10)-1)/10^(Q12/10)))))</f>
        <v>5.65</v>
      </c>
      <c r="S13" s="6"/>
      <c r="T13" s="6"/>
      <c r="U13" s="6"/>
      <c r="V13" s="6"/>
    </row>
    <row r="14" spans="1:25" x14ac:dyDescent="0.15">
      <c r="A14" s="6"/>
      <c r="B14" s="33" t="s">
        <v>7</v>
      </c>
      <c r="C14" s="34" t="s">
        <v>3</v>
      </c>
      <c r="D14" s="12">
        <f>IF(AND(D4&lt;&gt;FALSE,D10&lt;&gt;""),D10,"")</f>
        <v>60</v>
      </c>
      <c r="E14" s="10">
        <f>IF(OR($D$4:E$4)=FALSE,"",IF(E$4=FALSE,D14,IF(OR($D$4:D$4)=FALSE,E10,10*LOG(1/(1/10^(E10/10)+1/(10^(D14/10)*10^(E8/10)))))))</f>
        <v>56.116430290417611</v>
      </c>
      <c r="F14" s="10">
        <f>IF(OR($D$4:F$4)=FALSE,"",IF(F$4=FALSE,E14,IF(OR($D$4:E$4)=FALSE,F10,10*LOG(1/(1/10^(F10/10)+1/(10^(E14/10)*10^(F8/10)))))))</f>
        <v>-1.2768522433391084E-5</v>
      </c>
      <c r="G14" s="10">
        <f>IF(OR($D$4:G$4)=FALSE,"",IF(G$4=FALSE,F14,IF(OR($D$4:F$4)=FALSE,G10,10*LOG(1/(1/10^(G10/10)+1/(10^(F14/10)*10^(G8/10)))))))</f>
        <v>54.54458623618244</v>
      </c>
      <c r="H14" s="10">
        <f>IF(OR($D$4:H$4)=FALSE,"",IF(H$4=FALSE,G14,IF(OR($D$4:G$4)=FALSE,H10,10*LOG(1/(1/10^(H10/10)+1/(10^(G14/10)*10^(H8/10)))))))</f>
        <v>54.54458623618244</v>
      </c>
      <c r="I14" s="10">
        <f>IF(OR($D$4:I$4)=FALSE,"",IF(I$4=FALSE,H14,IF(OR($D$4:H$4)=FALSE,I10,10*LOG(1/(1/10^(I10/10)+1/(10^(H14/10)*10^(I8/10)))))))</f>
        <v>54.54458623618244</v>
      </c>
      <c r="J14" s="10">
        <f>IF(OR($D$4:J$4)=FALSE,"",IF(J$4=FALSE,I14,IF(OR($D$4:I$4)=FALSE,J10,10*LOG(1/(1/10^(J10/10)+1/(10^(I14/10)*10^(J8/10)))))))</f>
        <v>54.54458623618244</v>
      </c>
      <c r="K14" s="10">
        <f>IF(OR($D$4:K$4)=FALSE,"",IF(K$4=FALSE,J14,IF(OR($D$4:J$4)=FALSE,K10,10*LOG(1/(1/10^(K10/10)+1/(10^(J14/10)*10^(K8/10)))))))</f>
        <v>54.54458623618244</v>
      </c>
      <c r="L14" s="10">
        <f>IF(OR($D$4:L$4)=FALSE,"",IF(L$4=FALSE,K14,IF(OR($D$4:K$4)=FALSE,L10,10*LOG(1/(1/10^(L10/10)+1/(10^(K14/10)*10^(L8/10)))))))</f>
        <v>54.54458623618244</v>
      </c>
      <c r="M14" s="10">
        <f>IF(OR($D$4:M$4)=FALSE,"",IF(M$4=FALSE,L14,IF(OR($D$4:L$4)=FALSE,M10,10*LOG(1/(1/10^(M10/10)+1/(10^(L14/10)*10^(M8/10)))))))</f>
        <v>54.54458623618244</v>
      </c>
      <c r="N14" s="10">
        <f>IF(OR($D$4:N$4)=FALSE,"",IF(N$4=FALSE,M14,IF(OR($D$4:M$4)=FALSE,N10,10*LOG(1/(1/10^(N10/10)+1/(10^(M14/10)*10^(N8/10)))))))</f>
        <v>54.54458623618244</v>
      </c>
      <c r="O14" s="10">
        <f>IF(OR($D$4:O$4)=FALSE,"",IF(O$4=FALSE,N14,IF(OR($D$4:N$4)=FALSE,O10,10*LOG(1/(1/10^(O10/10)+1/(10^(N14/10)*10^(O8/10)))))))</f>
        <v>54.54458623618244</v>
      </c>
      <c r="P14" s="10">
        <f>IF(OR($D$4:P$4)=FALSE,"",IF(P$4=FALSE,O14,IF(OR($D$4:O$4)=FALSE,P10,10*LOG(1/(1/10^(P10/10)+1/(10^(O14/10)*10^(P8/10)))))))</f>
        <v>54.54458623618244</v>
      </c>
      <c r="Q14" s="10">
        <f>IF(OR($D$4:Q$4)=FALSE,"",IF(Q$4=FALSE,P14,IF(OR($D$4:P$4)=FALSE,Q10,10*LOG(1/(1/10^(Q10/10)+1/(10^(P14/10)*10^(Q8/10)))))))</f>
        <v>54.54458623618244</v>
      </c>
      <c r="R14" s="10">
        <f>IF(OR($D$4:R$4)=FALSE,"",IF(R$4=FALSE,Q14,IF(OR($D$4:Q$4)=FALSE,R10,10*LOG(1/(1/10^(R10/10)+1/(10^(Q14/10)*10^(R8/10)))))))</f>
        <v>54.54458623618244</v>
      </c>
      <c r="S14" s="6"/>
      <c r="T14" s="6"/>
      <c r="U14" s="6"/>
      <c r="V14" s="6"/>
    </row>
    <row r="15" spans="1:25" ht="17.25" thickBot="1" x14ac:dyDescent="0.2">
      <c r="A15" s="6"/>
      <c r="B15" s="35" t="s">
        <v>36</v>
      </c>
      <c r="C15" s="36" t="s">
        <v>3</v>
      </c>
      <c r="D15" s="22">
        <f>IF(AND(D4&lt;&gt;FALSE,D11&lt;&gt;""),D11,"")</f>
        <v>60</v>
      </c>
      <c r="E15" s="16">
        <f>IF(OR($D$4:E$4)=FALSE,"",IF(E$4=FALSE,D15,IF(OR($D$4:D$4)=FALSE,E11,10*LOG(1/(1/10^(E11/10)+1/(10^(D15/10)*10^(E8/10)))))))</f>
        <v>56.116430290417611</v>
      </c>
      <c r="F15" s="16">
        <f>IF(OR($D$4:F$4)=FALSE,"",IF(F$4=FALSE,E15,IF(OR($D$4:E$4)=FALSE,F11,10*LOG(1/(1/10^(F11/10)+1/(10^(E15/10)*10^(F8/10)))))))</f>
        <v>-1.2768522433391084E-5</v>
      </c>
      <c r="G15" s="16">
        <f>IF(OR($D$4:G$4)=FALSE,"",IF(G$4=FALSE,F15,IF(OR($D$4:F$4)=FALSE,G11,10*LOG(1/(1/10^(G11/10)+1/(10^(F15/10)*10^(G8/10)))))))</f>
        <v>54.54458623618244</v>
      </c>
      <c r="H15" s="16">
        <f>IF(OR($D$4:H$4)=FALSE,"",IF(H$4=FALSE,G15,IF(OR($D$4:G$4)=FALSE,H11,10*LOG(1/(1/10^(H11/10)+1/(10^(G15/10)*10^(H8/10)))))))</f>
        <v>54.54458623618244</v>
      </c>
      <c r="I15" s="16">
        <f>IF(OR($D$4:I$4)=FALSE,"",IF(I$4=FALSE,H15,IF(OR($D$4:H$4)=FALSE,I11,10*LOG(1/(1/10^(I11/10)+1/(10^(H15/10)*10^(I8/10)))))))</f>
        <v>54.54458623618244</v>
      </c>
      <c r="J15" s="16">
        <f>IF(OR($D$4:J$4)=FALSE,"",IF(J$4=FALSE,I15,IF(OR($D$4:I$4)=FALSE,J11,10*LOG(1/(1/10^(J11/10)+1/(10^(I15/10)*10^(J8/10)))))))</f>
        <v>54.54458623618244</v>
      </c>
      <c r="K15" s="16">
        <f>IF(OR($D$4:K$4)=FALSE,"",IF(K$4=FALSE,J15,IF(OR($D$4:J$4)=FALSE,K11,10*LOG(1/(1/10^(K11/10)+1/(10^(J15/10)*10^(K8/10)))))))</f>
        <v>54.54458623618244</v>
      </c>
      <c r="L15" s="16">
        <f>IF(OR($D$4:L$4)=FALSE,"",IF(L$4=FALSE,K15,IF(OR($D$4:K$4)=FALSE,L11,10*LOG(1/(1/10^(L11/10)+1/(10^(K15/10)*10^(L8/10)))))))</f>
        <v>54.54458623618244</v>
      </c>
      <c r="M15" s="16">
        <f>IF(OR($D$4:M$4)=FALSE,"",IF(M$4=FALSE,L15,IF(OR($D$4:L$4)=FALSE,M11,10*LOG(1/(1/10^(M11/10)+1/(10^(L15/10)*10^(M8/10)))))))</f>
        <v>54.54458623618244</v>
      </c>
      <c r="N15" s="16">
        <f>IF(OR($D$4:N$4)=FALSE,"",IF(N$4=FALSE,M15,IF(OR($D$4:M$4)=FALSE,N11,10*LOG(1/(1/10^(N11/10)+1/(10^(M15/10)*10^(N8/10)))))))</f>
        <v>54.54458623618244</v>
      </c>
      <c r="O15" s="16">
        <f>IF(OR($D$4:O$4)=FALSE,"",IF(O$4=FALSE,N15,IF(OR($D$4:N$4)=FALSE,O11,10*LOG(1/(1/10^(O11/10)+1/(10^(N15/10)*10^(O8/10)))))))</f>
        <v>54.54458623618244</v>
      </c>
      <c r="P15" s="16">
        <f>IF(OR($D$4:P$4)=FALSE,"",IF(P$4=FALSE,O15,IF(OR($D$4:O$4)=FALSE,P11,10*LOG(1/(1/10^(P11/10)+1/(10^(O15/10)*10^(P8/10)))))))</f>
        <v>54.54458623618244</v>
      </c>
      <c r="Q15" s="16">
        <f>IF(OR($D$4:Q$4)=FALSE,"",IF(Q$4=FALSE,P15,IF(OR($D$4:P$4)=FALSE,Q11,10*LOG(1/(1/10^(Q11/10)+1/(10^(P15/10)*10^(Q8/10)))))))</f>
        <v>54.54458623618244</v>
      </c>
      <c r="R15" s="16">
        <f>IF(OR($D$4:R$4)=FALSE,"",IF(R$4=FALSE,Q15,IF(OR($D$4:Q$4)=FALSE,R11,10*LOG(1/(1/10^(R11/10)+1/(10^(Q15/10)*10^(R8/10)))))))</f>
        <v>54.54458623618244</v>
      </c>
      <c r="S15" s="6"/>
      <c r="T15" s="6"/>
      <c r="U15" s="6"/>
      <c r="V15" s="6"/>
    </row>
    <row r="16" spans="1:25" ht="17.25" thickTop="1" x14ac:dyDescent="0.15">
      <c r="A16" s="6"/>
      <c r="B16" s="37" t="s">
        <v>37</v>
      </c>
      <c r="C16" s="38" t="s">
        <v>3</v>
      </c>
      <c r="D16" s="14">
        <f>IF(AND(D4&lt;&gt;FALSE,G23&lt;&gt;""),G23,"")</f>
        <v>-50</v>
      </c>
      <c r="E16" s="11">
        <f>IF(OR($D$4:E$4)=FALSE,"",IF(E$4=FALSE,D16,IF(OR($D$4:D$4)=FALSE,$G$23,D17)))</f>
        <v>-50.55</v>
      </c>
      <c r="F16" s="11">
        <f>IF(OR($D$4:F$4)=FALSE,"",IF(F$4=FALSE,E16,IF(OR($D$4:E$4)=FALSE,$G$23,E17)))</f>
        <v>-52.15</v>
      </c>
      <c r="G16" s="11">
        <f>IF(OR($D$4:G$4)=FALSE,"",IF(G$4=FALSE,F16,IF(OR($D$4:F$4)=FALSE,$G$23,F17)))</f>
        <v>-52.949999999999996</v>
      </c>
      <c r="H16" s="11">
        <f>IF(OR($D$4:H$4)=FALSE,"",IF(H$4=FALSE,G16,IF(OR($D$4:G$4)=FALSE,$G$23,G17)))</f>
        <v>-52.949999999999996</v>
      </c>
      <c r="I16" s="11">
        <f>IF(OR($D$4:I$4)=FALSE,"",IF(I$4=FALSE,H16,IF(OR($D$4:H$4)=FALSE,$G$23,H17)))</f>
        <v>-52.949999999999996</v>
      </c>
      <c r="J16" s="11">
        <f>IF(OR($D$4:J$4)=FALSE,"",IF(J$4=FALSE,I16,IF(OR($D$4:I$4)=FALSE,$G$23,I17)))</f>
        <v>-52.949999999999996</v>
      </c>
      <c r="K16" s="11">
        <f>IF(OR($D$4:K$4)=FALSE,"",IF(K$4=FALSE,J16,IF(OR($D$4:J$4)=FALSE,$G$23,J17)))</f>
        <v>-52.949999999999996</v>
      </c>
      <c r="L16" s="11">
        <f>IF(OR($D$4:L$4)=FALSE,"",IF(L$4=FALSE,K16,IF(OR($D$4:K$4)=FALSE,$G$23,K17)))</f>
        <v>-52.949999999999996</v>
      </c>
      <c r="M16" s="11">
        <f>IF(OR($D$4:M$4)=FALSE,"",IF(M$4=FALSE,L16,IF(OR($D$4:L$4)=FALSE,$G$23,L17)))</f>
        <v>-52.949999999999996</v>
      </c>
      <c r="N16" s="11">
        <f>IF(OR($D$4:N$4)=FALSE,"",IF(N$4=FALSE,M16,IF(OR($D$4:M$4)=FALSE,$G$23,M17)))</f>
        <v>-52.949999999999996</v>
      </c>
      <c r="O16" s="11">
        <f>IF(OR($D$4:O$4)=FALSE,"",IF(O$4=FALSE,N16,IF(OR($D$4:N$4)=FALSE,$G$23,N17)))</f>
        <v>-52.949999999999996</v>
      </c>
      <c r="P16" s="11">
        <f>IF(OR($D$4:P$4)=FALSE,"",IF(P$4=FALSE,O16,IF(OR($D$4:O$4)=FALSE,$G$23,O17)))</f>
        <v>-52.949999999999996</v>
      </c>
      <c r="Q16" s="11">
        <f>IF(OR($D$4:Q$4)=FALSE,"",IF(Q$4=FALSE,P16,IF(OR($D$4:P$4)=FALSE,$G$23,P17)))</f>
        <v>-52.949999999999996</v>
      </c>
      <c r="R16" s="11">
        <f>IF(OR($D$4:R$4)=FALSE,"",IF(R$4=FALSE,Q16,IF(OR($D$4:Q$4)=FALSE,$G$23,Q17)))</f>
        <v>-52.949999999999996</v>
      </c>
      <c r="S16" s="6"/>
      <c r="T16" s="6"/>
      <c r="U16" s="6"/>
      <c r="V16" s="6"/>
    </row>
    <row r="17" spans="1:22" x14ac:dyDescent="0.15">
      <c r="A17" s="6"/>
      <c r="B17" s="25" t="s">
        <v>8</v>
      </c>
      <c r="C17" s="26" t="s">
        <v>3</v>
      </c>
      <c r="D17" s="12">
        <f>IF(AND(D4&lt;&gt;FALSE,D8&lt;&gt;"",D16&lt;&gt;""),D16+D8,"")</f>
        <v>-50.55</v>
      </c>
      <c r="E17" s="10">
        <f>IF(AND(E4&lt;&gt;FALSE,E16&lt;&gt;"",E16&lt;&gt;""),E8+E16,D17)</f>
        <v>-52.15</v>
      </c>
      <c r="F17" s="10">
        <f t="shared" ref="F17:M17" si="0">IF(AND(F4&lt;&gt;FALSE,F16&lt;&gt;"",F16&lt;&gt;""),F8+F16,E17)</f>
        <v>-52.949999999999996</v>
      </c>
      <c r="G17" s="10">
        <f t="shared" si="0"/>
        <v>3.0500000000000043</v>
      </c>
      <c r="H17" s="10">
        <f t="shared" si="0"/>
        <v>3.0500000000000043</v>
      </c>
      <c r="I17" s="10">
        <f t="shared" si="0"/>
        <v>3.0500000000000043</v>
      </c>
      <c r="J17" s="10">
        <f t="shared" si="0"/>
        <v>3.0500000000000043</v>
      </c>
      <c r="K17" s="10">
        <f t="shared" si="0"/>
        <v>3.0500000000000043</v>
      </c>
      <c r="L17" s="10">
        <f t="shared" si="0"/>
        <v>3.0500000000000043</v>
      </c>
      <c r="M17" s="10">
        <f t="shared" si="0"/>
        <v>3.0500000000000043</v>
      </c>
      <c r="N17" s="10">
        <f>IF(AND(N4&lt;&gt;FALSE,N16&lt;&gt;"",N16&lt;&gt;""),N8+N16,M17)</f>
        <v>3.0500000000000043</v>
      </c>
      <c r="O17" s="10">
        <f>IF(AND(O4&lt;&gt;FALSE,O16&lt;&gt;"",O16&lt;&gt;""),O8+O16,N17)</f>
        <v>3.0500000000000043</v>
      </c>
      <c r="P17" s="10">
        <f>IF(AND(P4&lt;&gt;FALSE,P16&lt;&gt;"",P16&lt;&gt;""),P8+P16,O17)</f>
        <v>3.0500000000000043</v>
      </c>
      <c r="Q17" s="10">
        <f>IF(AND(Q4&lt;&gt;FALSE,Q16&lt;&gt;"",Q16&lt;&gt;""),Q8+Q16,P17)</f>
        <v>3.0500000000000043</v>
      </c>
      <c r="R17" s="10">
        <f>IF(AND(R4&lt;&gt;FALSE,R16&lt;&gt;"",R16&lt;&gt;""),R8+R16,Q17)</f>
        <v>3.0500000000000043</v>
      </c>
      <c r="S17" s="6"/>
      <c r="T17" s="6"/>
      <c r="U17" s="6"/>
      <c r="V17" s="6"/>
    </row>
    <row r="18" spans="1:22" x14ac:dyDescent="0.15">
      <c r="A18" s="6"/>
      <c r="B18" s="27" t="s">
        <v>9</v>
      </c>
      <c r="C18" s="28" t="s">
        <v>1</v>
      </c>
      <c r="D18" s="12">
        <f>IF(AND(D4&lt;&gt;FALSE,D10&lt;&gt;"",D17&lt;&gt;""),D10-D17,"")</f>
        <v>110.55</v>
      </c>
      <c r="E18" s="10">
        <f>IF(AND(E4&lt;&gt;FALSE,E10&lt;&gt;"",E17&lt;&gt;""),E10-E17,D18)</f>
        <v>112.15</v>
      </c>
      <c r="F18" s="10">
        <f t="shared" ref="F18:M18" si="1">IF(AND(F4&lt;&gt;FALSE,F10&lt;&gt;"",F17&lt;&gt;""),F10-F17,E18)</f>
        <v>52.949999999999996</v>
      </c>
      <c r="G18" s="10">
        <f t="shared" si="1"/>
        <v>56.949999999999996</v>
      </c>
      <c r="H18" s="10">
        <f t="shared" si="1"/>
        <v>56.949999999999996</v>
      </c>
      <c r="I18" s="10">
        <f t="shared" si="1"/>
        <v>56.949999999999996</v>
      </c>
      <c r="J18" s="10">
        <f t="shared" si="1"/>
        <v>56.949999999999996</v>
      </c>
      <c r="K18" s="10">
        <f t="shared" si="1"/>
        <v>56.949999999999996</v>
      </c>
      <c r="L18" s="10">
        <f t="shared" si="1"/>
        <v>56.949999999999996</v>
      </c>
      <c r="M18" s="10" t="e">
        <f t="shared" si="1"/>
        <v>#N/A</v>
      </c>
      <c r="N18" s="10" t="e">
        <f>IF(AND(N4&lt;&gt;FALSE,N10&lt;&gt;"",N17&lt;&gt;""),N10-N17,M18)</f>
        <v>#N/A</v>
      </c>
      <c r="O18" s="10" t="e">
        <f>IF(AND(O4&lt;&gt;FALSE,O10&lt;&gt;"",O17&lt;&gt;""),O10-O17,N18)</f>
        <v>#N/A</v>
      </c>
      <c r="P18" s="10" t="e">
        <f>IF(AND(P4&lt;&gt;FALSE,P10&lt;&gt;"",P17&lt;&gt;""),P10-P17,O18)</f>
        <v>#N/A</v>
      </c>
      <c r="Q18" s="10" t="e">
        <f>IF(AND(Q4&lt;&gt;FALSE,Q10&lt;&gt;"",Q17&lt;&gt;""),Q10-Q17,P18)</f>
        <v>#N/A</v>
      </c>
      <c r="R18" s="10" t="e">
        <f>IF(AND(R4&lt;&gt;FALSE,R10&lt;&gt;"",R17&lt;&gt;""),R10-R17,Q18)</f>
        <v>#N/A</v>
      </c>
      <c r="S18" s="6"/>
      <c r="T18" s="6"/>
      <c r="U18" s="6"/>
      <c r="V18" s="6"/>
    </row>
    <row r="19" spans="1:22" x14ac:dyDescent="0.15">
      <c r="A19" s="6"/>
      <c r="B19" s="25" t="s">
        <v>10</v>
      </c>
      <c r="C19" s="26" t="s">
        <v>42</v>
      </c>
      <c r="D19" s="12">
        <f>IF(AND(D4&lt;&gt;FALSE,D15&lt;&gt;"",D17&lt;&gt;""),2*(D15-D17),"")</f>
        <v>221.1</v>
      </c>
      <c r="E19" s="10">
        <f>IF(AND(E4&lt;&gt;FALSE,E15&lt;&gt;"",E17&lt;&gt;""),2*(E15-E17),D19)</f>
        <v>216.53286058083523</v>
      </c>
      <c r="F19" s="10">
        <f>IF(AND(F4&lt;&gt;FALSE,F15&lt;&gt;"",F17&lt;&gt;""),2*(F15-F17),E19)</f>
        <v>105.89997446295513</v>
      </c>
      <c r="G19" s="10">
        <f>IF(AND(G4&lt;&gt;FALSE,G15&lt;&gt;"",G17&lt;&gt;""),2*(G15-G17),F19)</f>
        <v>102.98917247236487</v>
      </c>
      <c r="H19" s="10">
        <f>IF(AND(H4&lt;&gt;FALSE,H15&lt;&gt;"",H17&lt;&gt;""),2*(H15-H17),G19)</f>
        <v>102.98917247236487</v>
      </c>
      <c r="I19" s="10">
        <f t="shared" ref="I19:R19" si="2">IF(AND(I4&lt;&gt;FALSE,I15&lt;&gt;"",I17&lt;&gt;""),2*(I15-I17),H19)</f>
        <v>102.98917247236487</v>
      </c>
      <c r="J19" s="10">
        <f t="shared" si="2"/>
        <v>102.98917247236487</v>
      </c>
      <c r="K19" s="10">
        <f t="shared" si="2"/>
        <v>102.98917247236487</v>
      </c>
      <c r="L19" s="10">
        <f t="shared" si="2"/>
        <v>102.98917247236487</v>
      </c>
      <c r="M19" s="10">
        <f t="shared" si="2"/>
        <v>102.98917247236487</v>
      </c>
      <c r="N19" s="10">
        <f t="shared" si="2"/>
        <v>102.98917247236487</v>
      </c>
      <c r="O19" s="10">
        <f t="shared" si="2"/>
        <v>102.98917247236487</v>
      </c>
      <c r="P19" s="10">
        <f t="shared" si="2"/>
        <v>102.98917247236487</v>
      </c>
      <c r="Q19" s="10">
        <f t="shared" si="2"/>
        <v>102.98917247236487</v>
      </c>
      <c r="R19" s="10">
        <f t="shared" si="2"/>
        <v>102.98917247236487</v>
      </c>
      <c r="S19" s="6"/>
      <c r="T19" s="6"/>
      <c r="U19" s="6"/>
      <c r="V19" s="6"/>
    </row>
    <row r="20" spans="1:22" x14ac:dyDescent="0.15">
      <c r="A20" s="6"/>
      <c r="B20" s="39" t="s">
        <v>13</v>
      </c>
      <c r="C20" s="40" t="s">
        <v>1</v>
      </c>
      <c r="D20" s="12">
        <f>IF(AND(D4&lt;&gt;FALSE,D15&lt;&gt;"",D17&lt;&gt;"",$G$28&lt;&gt;""),-20.75+1.6*$G$28+2*(D17-D15),"")</f>
        <v>-225.85</v>
      </c>
      <c r="E20" s="10">
        <f>IF(AND(E4&lt;&gt;FALSE,E15&lt;&gt;"",E17&lt;&gt;"",$G$28&lt;&gt;""),-20.75+1.6*$G$28+2*(E17-E15),D20)</f>
        <v>-221.28286058083523</v>
      </c>
      <c r="F20" s="10">
        <f t="shared" ref="F20:M20" si="3">IF(AND(F4&lt;&gt;FALSE,F15&lt;&gt;"",F17&lt;&gt;"",$G$28&lt;&gt;""),-20.75+1.6*$G$28+2*(F17-F15),E20)</f>
        <v>-110.64997446295513</v>
      </c>
      <c r="G20" s="10">
        <f t="shared" si="3"/>
        <v>-107.73917247236487</v>
      </c>
      <c r="H20" s="10">
        <f t="shared" si="3"/>
        <v>-107.73917247236487</v>
      </c>
      <c r="I20" s="10">
        <f t="shared" si="3"/>
        <v>-107.73917247236487</v>
      </c>
      <c r="J20" s="10">
        <f t="shared" si="3"/>
        <v>-107.73917247236487</v>
      </c>
      <c r="K20" s="10">
        <f t="shared" si="3"/>
        <v>-107.73917247236487</v>
      </c>
      <c r="L20" s="10">
        <f t="shared" si="3"/>
        <v>-107.73917247236487</v>
      </c>
      <c r="M20" s="10">
        <f t="shared" si="3"/>
        <v>-107.73917247236487</v>
      </c>
      <c r="N20" s="10">
        <f>IF(AND(N4&lt;&gt;FALSE,N15&lt;&gt;"",N17&lt;&gt;"",$G$28&lt;&gt;""),-20.75+1.6*$G$28+2*(N17-N15),M20)</f>
        <v>-107.73917247236487</v>
      </c>
      <c r="O20" s="10">
        <f>IF(AND(O4&lt;&gt;FALSE,O15&lt;&gt;"",O17&lt;&gt;"",$G$28&lt;&gt;""),-20.75+1.6*$G$28+2*(O17-O15),N20)</f>
        <v>-107.73917247236487</v>
      </c>
      <c r="P20" s="10">
        <f>IF(AND(P4&lt;&gt;FALSE,P15&lt;&gt;"",P17&lt;&gt;"",$G$28&lt;&gt;""),-20.75+1.6*$G$28+2*(P17-P15),O20)</f>
        <v>-107.73917247236487</v>
      </c>
      <c r="Q20" s="10">
        <f>IF(AND(Q4&lt;&gt;FALSE,Q15&lt;&gt;"",Q17&lt;&gt;"",$G$28&lt;&gt;""),-20.75+1.6*$G$28+2*(Q17-Q15),P20)</f>
        <v>-107.73917247236487</v>
      </c>
      <c r="R20" s="10">
        <f>IF(AND(R4&lt;&gt;FALSE,R15&lt;&gt;"",R17&lt;&gt;"",$G$28&lt;&gt;""),-20.75+1.6*$G$28+2*(R17-R15),Q20)</f>
        <v>-107.73917247236487</v>
      </c>
      <c r="S20" s="6"/>
      <c r="T20" s="6"/>
      <c r="U20" s="6"/>
      <c r="V20" s="6"/>
    </row>
    <row r="21" spans="1:22" x14ac:dyDescent="0.1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</row>
    <row r="22" spans="1:22" x14ac:dyDescent="0.15">
      <c r="A22" s="6"/>
      <c r="B22" s="44"/>
      <c r="C22" s="44"/>
      <c r="D22" s="74" t="s">
        <v>11</v>
      </c>
      <c r="E22" s="74"/>
      <c r="F22" s="74"/>
      <c r="G22" s="74"/>
      <c r="H22" s="46"/>
      <c r="I22" s="68" t="s">
        <v>48</v>
      </c>
      <c r="J22" s="69"/>
      <c r="K22" s="69"/>
      <c r="L22" s="69"/>
      <c r="M22" s="70"/>
      <c r="N22" s="6"/>
      <c r="O22" s="65" t="s">
        <v>19</v>
      </c>
      <c r="P22" s="66"/>
      <c r="Q22" s="66"/>
      <c r="R22" s="67"/>
      <c r="S22" s="6"/>
      <c r="T22" s="6"/>
      <c r="U22" s="6"/>
      <c r="V22" s="6"/>
    </row>
    <row r="23" spans="1:22" x14ac:dyDescent="0.15">
      <c r="A23" s="6"/>
      <c r="B23" s="44"/>
      <c r="C23" s="44"/>
      <c r="D23" s="74" t="s">
        <v>37</v>
      </c>
      <c r="E23" s="74"/>
      <c r="F23" s="19" t="s">
        <v>3</v>
      </c>
      <c r="G23" s="20">
        <v>-50</v>
      </c>
      <c r="H23" s="6"/>
      <c r="I23" s="74" t="s">
        <v>16</v>
      </c>
      <c r="J23" s="74"/>
      <c r="K23" s="74"/>
      <c r="L23" s="19" t="s">
        <v>3</v>
      </c>
      <c r="M23" s="12">
        <f>IF(AND(G25&lt;&gt;"",G27&lt;&gt;"",G26&lt;&gt;""),10*LOG(1.3806505*10^(-20)*G25*10^6*G27)+LOOKUP(9E+307,13:13)+G26,"")</f>
        <v>-99.664574719691231</v>
      </c>
      <c r="N23" s="6"/>
      <c r="O23" s="71" t="s">
        <v>21</v>
      </c>
      <c r="P23" s="72"/>
      <c r="Q23" s="72"/>
      <c r="R23" s="73"/>
      <c r="S23" s="6"/>
      <c r="T23" s="6"/>
      <c r="U23" s="6"/>
      <c r="V23" s="6"/>
    </row>
    <row r="24" spans="1:22" x14ac:dyDescent="0.15">
      <c r="A24" s="6"/>
      <c r="B24" s="44"/>
      <c r="C24" s="44"/>
      <c r="D24" s="74" t="s">
        <v>14</v>
      </c>
      <c r="E24" s="74"/>
      <c r="F24" s="19" t="s">
        <v>1</v>
      </c>
      <c r="G24" s="20">
        <v>10</v>
      </c>
      <c r="H24" s="6"/>
      <c r="I24" s="74" t="s">
        <v>17</v>
      </c>
      <c r="J24" s="74"/>
      <c r="K24" s="74"/>
      <c r="L24" s="19" t="s">
        <v>49</v>
      </c>
      <c r="M24" s="12">
        <f>IF(AND(G27&lt;&gt;""),10*LOG(1.3806505*10^(-20)*G27)+LOOKUP(9E+307,13:13),"")</f>
        <v>-168.20699981408447</v>
      </c>
      <c r="N24" s="6"/>
      <c r="O24" s="71" t="s">
        <v>51</v>
      </c>
      <c r="P24" s="72"/>
      <c r="Q24" s="72"/>
      <c r="R24" s="73"/>
      <c r="S24" s="6"/>
      <c r="T24" s="6"/>
      <c r="U24" s="6"/>
      <c r="V24" s="6"/>
    </row>
    <row r="25" spans="1:22" x14ac:dyDescent="0.15">
      <c r="A25" s="6"/>
      <c r="B25" s="44"/>
      <c r="C25" s="44"/>
      <c r="D25" s="74" t="s">
        <v>43</v>
      </c>
      <c r="E25" s="74"/>
      <c r="F25" s="19" t="s">
        <v>25</v>
      </c>
      <c r="G25" s="20">
        <v>9</v>
      </c>
      <c r="H25" s="6"/>
      <c r="I25" s="74" t="s">
        <v>22</v>
      </c>
      <c r="J25" s="74"/>
      <c r="K25" s="74"/>
      <c r="L25" s="19" t="s">
        <v>20</v>
      </c>
      <c r="M25" s="12">
        <f>IF(AND(M24&lt;&gt;""),M24+LOOKUP(9E+307,12:12),"")</f>
        <v>-115.15699981408447</v>
      </c>
      <c r="N25" s="6"/>
      <c r="O25" s="71" t="s">
        <v>33</v>
      </c>
      <c r="P25" s="72"/>
      <c r="Q25" s="72"/>
      <c r="R25" s="73"/>
      <c r="S25" s="6"/>
      <c r="T25" s="6"/>
      <c r="U25" s="6"/>
      <c r="V25" s="6"/>
    </row>
    <row r="26" spans="1:22" x14ac:dyDescent="0.15">
      <c r="A26" s="6"/>
      <c r="B26" s="44"/>
      <c r="C26" s="44"/>
      <c r="D26" s="74" t="s">
        <v>44</v>
      </c>
      <c r="E26" s="74"/>
      <c r="F26" s="19" t="s">
        <v>1</v>
      </c>
      <c r="G26" s="20">
        <v>-1</v>
      </c>
      <c r="H26" s="6"/>
      <c r="I26" s="74" t="s">
        <v>15</v>
      </c>
      <c r="J26" s="74"/>
      <c r="K26" s="74"/>
      <c r="L26" s="19" t="s">
        <v>20</v>
      </c>
      <c r="M26" s="12">
        <f>IF(AND(G25&lt;&gt;"",G27&lt;&gt;""),10*LOG(1.3806505*10^(-20)*G25*10^6*G27)+LOOKUP(9E+307,13:13),"")</f>
        <v>-98.664574719691231</v>
      </c>
      <c r="N26" s="6"/>
      <c r="O26" s="71" t="s">
        <v>34</v>
      </c>
      <c r="P26" s="72"/>
      <c r="Q26" s="72"/>
      <c r="R26" s="73"/>
      <c r="S26" s="6"/>
      <c r="T26" s="6"/>
      <c r="U26" s="6"/>
      <c r="V26" s="6"/>
    </row>
    <row r="27" spans="1:22" x14ac:dyDescent="0.15">
      <c r="A27" s="6"/>
      <c r="B27" s="44"/>
      <c r="C27" s="44"/>
      <c r="D27" s="74" t="s">
        <v>45</v>
      </c>
      <c r="E27" s="74"/>
      <c r="F27" s="19" t="s">
        <v>46</v>
      </c>
      <c r="G27" s="20">
        <v>298</v>
      </c>
      <c r="H27" s="6"/>
      <c r="I27" s="74" t="s">
        <v>18</v>
      </c>
      <c r="J27" s="74"/>
      <c r="K27" s="74"/>
      <c r="L27" s="19" t="s">
        <v>20</v>
      </c>
      <c r="M27" s="12">
        <f>IF(AND(M26&lt;&gt;""),M26+LOOKUP(9E+307,12:12),"")</f>
        <v>-45.614574719691234</v>
      </c>
      <c r="N27" s="6"/>
      <c r="O27" s="71" t="s">
        <v>23</v>
      </c>
      <c r="P27" s="72"/>
      <c r="Q27" s="72"/>
      <c r="R27" s="73"/>
      <c r="S27" s="6"/>
      <c r="T27" s="6"/>
      <c r="U27" s="6"/>
      <c r="V27" s="6"/>
    </row>
    <row r="28" spans="1:22" x14ac:dyDescent="0.15">
      <c r="A28" s="6"/>
      <c r="B28" s="44"/>
      <c r="C28" s="44"/>
      <c r="D28" s="74" t="s">
        <v>12</v>
      </c>
      <c r="E28" s="74"/>
      <c r="F28" s="19" t="s">
        <v>1</v>
      </c>
      <c r="G28" s="20">
        <v>10</v>
      </c>
      <c r="H28" s="6"/>
      <c r="I28" s="74" t="s">
        <v>50</v>
      </c>
      <c r="J28" s="74"/>
      <c r="K28" s="74"/>
      <c r="L28" s="19" t="s">
        <v>1</v>
      </c>
      <c r="M28" s="12">
        <f>G23-M26</f>
        <v>48.664574719691231</v>
      </c>
      <c r="N28" s="6"/>
      <c r="O28" s="71" t="s">
        <v>35</v>
      </c>
      <c r="P28" s="72"/>
      <c r="Q28" s="72"/>
      <c r="R28" s="73"/>
      <c r="S28" s="6"/>
      <c r="T28" s="6"/>
      <c r="U28" s="6"/>
      <c r="V28" s="6"/>
    </row>
    <row r="29" spans="1:22" x14ac:dyDescent="0.15">
      <c r="A29" s="6"/>
      <c r="B29" s="44"/>
      <c r="C29" s="44"/>
      <c r="D29" s="74" t="s">
        <v>28</v>
      </c>
      <c r="E29" s="74"/>
      <c r="F29" s="19"/>
      <c r="G29" s="20" t="s">
        <v>116</v>
      </c>
      <c r="H29" s="47"/>
      <c r="I29" s="74" t="s">
        <v>27</v>
      </c>
      <c r="J29" s="74"/>
      <c r="K29" s="74"/>
      <c r="L29" s="19"/>
      <c r="M29" s="18" t="str">
        <f>IF(G29="是",IF(LOOKUP(9E+307,17:17)&gt;G31,"起控","未起控"),"无效")</f>
        <v>无效</v>
      </c>
      <c r="N29" s="6"/>
      <c r="O29" s="6"/>
      <c r="P29" s="6"/>
      <c r="Q29" s="6"/>
      <c r="R29" s="6"/>
      <c r="S29" s="6"/>
      <c r="T29" s="6"/>
      <c r="U29" s="6"/>
      <c r="V29" s="6"/>
    </row>
    <row r="30" spans="1:22" x14ac:dyDescent="0.15">
      <c r="A30" s="6"/>
      <c r="B30" s="6"/>
      <c r="C30" s="6"/>
      <c r="D30" s="74" t="s">
        <v>60</v>
      </c>
      <c r="E30" s="74"/>
      <c r="F30" s="19"/>
      <c r="G30" s="20">
        <v>6</v>
      </c>
      <c r="H30" s="6"/>
      <c r="I30" s="74" t="s">
        <v>32</v>
      </c>
      <c r="J30" s="74"/>
      <c r="K30" s="74"/>
      <c r="L30" s="19" t="s">
        <v>1</v>
      </c>
      <c r="M30" s="12">
        <f>LOOKUP(9E+307,17:17)-G31</f>
        <v>-13.949999999999996</v>
      </c>
      <c r="N30" s="6"/>
      <c r="O30" s="6"/>
      <c r="P30" s="6"/>
      <c r="Q30" s="6"/>
      <c r="R30" s="6"/>
      <c r="S30" s="6"/>
      <c r="T30" s="6"/>
      <c r="U30" s="6"/>
      <c r="V30" s="6"/>
    </row>
    <row r="31" spans="1:22" x14ac:dyDescent="0.15">
      <c r="A31" s="6"/>
      <c r="B31" s="6"/>
      <c r="C31" s="6"/>
      <c r="D31" s="74" t="s">
        <v>47</v>
      </c>
      <c r="E31" s="74"/>
      <c r="F31" s="19" t="s">
        <v>3</v>
      </c>
      <c r="G31" s="20">
        <v>17</v>
      </c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</row>
    <row r="32" spans="1:22" x14ac:dyDescent="0.15">
      <c r="A32" s="6"/>
      <c r="B32" s="6"/>
      <c r="C32" s="6"/>
      <c r="D32" s="6" t="s">
        <v>68</v>
      </c>
      <c r="E32" s="6"/>
      <c r="F32" s="6"/>
      <c r="G32" s="6">
        <v>65</v>
      </c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</row>
    <row r="33" spans="1:22" x14ac:dyDescent="0.15">
      <c r="A33" s="6"/>
      <c r="B33" s="6"/>
      <c r="C33" s="6"/>
      <c r="D33" s="44"/>
      <c r="E33" s="44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</row>
    <row r="34" spans="1:22" x14ac:dyDescent="0.15">
      <c r="A34" s="6"/>
      <c r="B34" s="6"/>
      <c r="C34" s="6"/>
      <c r="D34" s="44"/>
      <c r="E34" s="44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</row>
    <row r="35" spans="1:22" x14ac:dyDescent="0.15">
      <c r="A35" s="6"/>
      <c r="B35" s="6"/>
      <c r="C35" s="6"/>
      <c r="D35" s="44"/>
      <c r="E35" s="44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</row>
    <row r="36" spans="1:22" x14ac:dyDescent="0.15">
      <c r="C36" s="6"/>
      <c r="D36" s="44"/>
      <c r="E36" s="44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</row>
    <row r="37" spans="1:22" x14ac:dyDescent="0.15">
      <c r="D37" s="44"/>
      <c r="E37" s="44"/>
      <c r="F37" s="6"/>
      <c r="G37" s="6"/>
    </row>
    <row r="38" spans="1:22" x14ac:dyDescent="0.15">
      <c r="D38" s="44"/>
      <c r="E38" s="44"/>
    </row>
    <row r="39" spans="1:22" x14ac:dyDescent="0.15">
      <c r="D39" s="44"/>
      <c r="E39" s="44"/>
    </row>
  </sheetData>
  <mergeCells count="27">
    <mergeCell ref="D31:E31"/>
    <mergeCell ref="D28:E28"/>
    <mergeCell ref="I28:K28"/>
    <mergeCell ref="O28:R28"/>
    <mergeCell ref="D29:E29"/>
    <mergeCell ref="I29:K29"/>
    <mergeCell ref="D30:E30"/>
    <mergeCell ref="I30:K30"/>
    <mergeCell ref="D26:E26"/>
    <mergeCell ref="I26:K26"/>
    <mergeCell ref="O26:R26"/>
    <mergeCell ref="D27:E27"/>
    <mergeCell ref="I27:K27"/>
    <mergeCell ref="O27:R27"/>
    <mergeCell ref="D24:E24"/>
    <mergeCell ref="I24:K24"/>
    <mergeCell ref="O24:R24"/>
    <mergeCell ref="D25:E25"/>
    <mergeCell ref="I25:K25"/>
    <mergeCell ref="O25:R25"/>
    <mergeCell ref="B1:C3"/>
    <mergeCell ref="D22:G22"/>
    <mergeCell ref="I22:M22"/>
    <mergeCell ref="O22:R22"/>
    <mergeCell ref="D23:E23"/>
    <mergeCell ref="I23:K23"/>
    <mergeCell ref="O23:R23"/>
  </mergeCells>
  <phoneticPr fontId="16" type="noConversion"/>
  <conditionalFormatting sqref="D18:R18">
    <cfRule type="cellIs" dxfId="124" priority="11" operator="lessThan">
      <formula>$G24</formula>
    </cfRule>
  </conditionalFormatting>
  <conditionalFormatting sqref="D5:R11">
    <cfRule type="expression" dxfId="123" priority="10">
      <formula>D$4=FALSE</formula>
    </cfRule>
  </conditionalFormatting>
  <conditionalFormatting sqref="M29">
    <cfRule type="cellIs" dxfId="122" priority="8" operator="equal">
      <formula>"未起控"</formula>
    </cfRule>
    <cfRule type="cellIs" dxfId="121" priority="9" operator="equal">
      <formula>"起控"</formula>
    </cfRule>
  </conditionalFormatting>
  <conditionalFormatting sqref="D12:R20">
    <cfRule type="expression" dxfId="120" priority="3">
      <formula>D$4=FALSE</formula>
    </cfRule>
  </conditionalFormatting>
  <conditionalFormatting sqref="D4:I4 K4:R4">
    <cfRule type="cellIs" dxfId="119" priority="6" operator="equal">
      <formula>FALSE</formula>
    </cfRule>
    <cfRule type="cellIs" dxfId="118" priority="7" operator="equal">
      <formula>TRUE</formula>
    </cfRule>
  </conditionalFormatting>
  <conditionalFormatting sqref="J4">
    <cfRule type="cellIs" dxfId="117" priority="4" operator="equal">
      <formula>FALSE</formula>
    </cfRule>
    <cfRule type="cellIs" dxfId="116" priority="5" operator="equal">
      <formula>TRUE</formula>
    </cfRule>
  </conditionalFormatting>
  <conditionalFormatting sqref="N13">
    <cfRule type="expression" dxfId="115" priority="1" stopIfTrue="1">
      <formula>$H$24&lt;0</formula>
    </cfRule>
    <cfRule type="expression" dxfId="114" priority="2">
      <formula>$H$24&gt;0</formula>
    </cfRule>
  </conditionalFormatting>
  <dataValidations count="1">
    <dataValidation type="list" allowBlank="1" showInputMessage="1" showErrorMessage="1" sqref="D7">
      <formula1>"704-960,1710-2170,2300-2690,"</formula1>
    </dataValidation>
  </dataValidations>
  <pageMargins left="0.7" right="0.7" top="0.75" bottom="0.75" header="0.3" footer="0.3"/>
  <pageSetup paperSize="9" scale="49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5293" r:id="rId4" name="stage1">
          <controlPr autoLine="0" r:id="rId5">
            <anchor moveWithCells="1">
              <from>
                <xdr:col>0</xdr:col>
                <xdr:colOff>66675</xdr:colOff>
                <xdr:row>4</xdr:row>
                <xdr:rowOff>57150</xdr:rowOff>
              </from>
              <to>
                <xdr:col>1</xdr:col>
                <xdr:colOff>0</xdr:colOff>
                <xdr:row>5</xdr:row>
                <xdr:rowOff>104775</xdr:rowOff>
              </to>
            </anchor>
          </controlPr>
        </control>
      </mc:Choice>
      <mc:Fallback>
        <control shapeId="95293" r:id="rId4" name="stage1"/>
      </mc:Fallback>
    </mc:AlternateContent>
    <mc:AlternateContent xmlns:mc="http://schemas.openxmlformats.org/markup-compatibility/2006">
      <mc:Choice Requires="x14">
        <control shapeId="95292" r:id="rId6" name="stage_num">
          <controlPr autoLine="0" r:id="rId7">
            <anchor moveWithCells="1">
              <from>
                <xdr:col>0</xdr:col>
                <xdr:colOff>66675</xdr:colOff>
                <xdr:row>9</xdr:row>
                <xdr:rowOff>114300</xdr:rowOff>
              </from>
              <to>
                <xdr:col>1</xdr:col>
                <xdr:colOff>0</xdr:colOff>
                <xdr:row>10</xdr:row>
                <xdr:rowOff>152400</xdr:rowOff>
              </to>
            </anchor>
          </controlPr>
        </control>
      </mc:Choice>
      <mc:Fallback>
        <control shapeId="95292" r:id="rId6" name="stage_num"/>
      </mc:Fallback>
    </mc:AlternateContent>
    <mc:AlternateContent xmlns:mc="http://schemas.openxmlformats.org/markup-compatibility/2006">
      <mc:Choice Requires="x14">
        <control shapeId="95291" r:id="rId8" name="stage_num_set">
          <controlPr autoLine="0" r:id="rId9">
            <anchor moveWithCells="1">
              <from>
                <xdr:col>0</xdr:col>
                <xdr:colOff>66675</xdr:colOff>
                <xdr:row>8</xdr:row>
                <xdr:rowOff>38100</xdr:rowOff>
              </from>
              <to>
                <xdr:col>1</xdr:col>
                <xdr:colOff>0</xdr:colOff>
                <xdr:row>9</xdr:row>
                <xdr:rowOff>114300</xdr:rowOff>
              </to>
            </anchor>
          </controlPr>
        </control>
      </mc:Choice>
      <mc:Fallback>
        <control shapeId="95291" r:id="rId8" name="stage_num_set"/>
      </mc:Fallback>
    </mc:AlternateContent>
    <mc:AlternateContent xmlns:mc="http://schemas.openxmlformats.org/markup-compatibility/2006">
      <mc:Choice Requires="x14">
        <control shapeId="95290" r:id="rId10" name="stage2">
          <controlPr autoLine="0" r:id="rId11">
            <anchor moveWithCells="1">
              <from>
                <xdr:col>0</xdr:col>
                <xdr:colOff>66675</xdr:colOff>
                <xdr:row>5</xdr:row>
                <xdr:rowOff>104775</xdr:rowOff>
              </from>
              <to>
                <xdr:col>1</xdr:col>
                <xdr:colOff>0</xdr:colOff>
                <xdr:row>6</xdr:row>
                <xdr:rowOff>76200</xdr:rowOff>
              </to>
            </anchor>
          </controlPr>
        </control>
      </mc:Choice>
      <mc:Fallback>
        <control shapeId="95290" r:id="rId10" name="stage2"/>
      </mc:Fallback>
    </mc:AlternateContent>
    <mc:AlternateContent xmlns:mc="http://schemas.openxmlformats.org/markup-compatibility/2006">
      <mc:Choice Requires="x14">
        <control shapeId="95289" r:id="rId12" name="交换">
          <controlPr autoLine="0" r:id="rId13">
            <anchor moveWithCells="1">
              <from>
                <xdr:col>0</xdr:col>
                <xdr:colOff>66675</xdr:colOff>
                <xdr:row>2</xdr:row>
                <xdr:rowOff>200025</xdr:rowOff>
              </from>
              <to>
                <xdr:col>1</xdr:col>
                <xdr:colOff>0</xdr:colOff>
                <xdr:row>4</xdr:row>
                <xdr:rowOff>57150</xdr:rowOff>
              </to>
            </anchor>
          </controlPr>
        </control>
      </mc:Choice>
      <mc:Fallback>
        <control shapeId="95289" r:id="rId12" name="交换"/>
      </mc:Fallback>
    </mc:AlternateContent>
    <mc:AlternateContent xmlns:mc="http://schemas.openxmlformats.org/markup-compatibility/2006">
      <mc:Choice Requires="x14">
        <control shapeId="95233" r:id="rId14" name="Check Box 1">
          <controlPr defaultSize="0" autoFill="0" autoLine="0" autoPict="0" macro="[0]!复选框10_Click" altText="启用">
            <anchor moveWithCells="1">
              <from>
                <xdr:col>4</xdr:col>
                <xdr:colOff>152400</xdr:colOff>
                <xdr:row>2</xdr:row>
                <xdr:rowOff>200025</xdr:rowOff>
              </from>
              <to>
                <xdr:col>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34" r:id="rId15" name="Check Box 2">
          <controlPr defaultSize="0" autoFill="0" autoLine="0" autoPict="0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35" r:id="rId16" name="Check Box 3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36" r:id="rId17" name="Check Box 4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37" r:id="rId18" name="Check Box 5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38" r:id="rId19" name="Check Box 6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39" r:id="rId20" name="Check Box 7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40" r:id="rId21" name="Check Box 8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41" r:id="rId22" name="Check Box 9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42" r:id="rId23" name="Check Box 10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43" r:id="rId24" name="Check Box 11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44" r:id="rId25" name="Check Box 12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45" r:id="rId26" name="Check Box 13">
          <controlPr defaultSize="0" autoFill="0" autoLine="0" autoPict="0" altText="启用">
            <anchor moveWithCells="1">
              <from>
                <xdr:col>4</xdr:col>
                <xdr:colOff>152400</xdr:colOff>
                <xdr:row>2</xdr:row>
                <xdr:rowOff>200025</xdr:rowOff>
              </from>
              <to>
                <xdr:col>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46" r:id="rId27" name="Check Box 14">
          <controlPr defaultSize="0" autoFill="0" autoLine="0" autoPict="0" macro="[0]!复选框10_Click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47" r:id="rId28" name="Check Box 15">
          <controlPr defaultSize="0" autoFill="0" autoLine="0" autoPict="0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48" r:id="rId29" name="Check Box 16">
          <controlPr defaultSize="0" autoFill="0" autoLine="0" autoPict="0" macro="[0]!复选框10_Click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49" r:id="rId30" name="Check Box 17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50" r:id="rId31" name="Check Box 18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51" r:id="rId32" name="Check Box 19">
          <controlPr defaultSize="0" autoFill="0" autoLine="0" autoPict="0" macro="[0]!复选框10_Click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52" r:id="rId33" name="Check Box 20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53" r:id="rId34" name="Check Box 21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54" r:id="rId35" name="Check Box 22">
          <controlPr defaultSize="0" autoFill="0" autoLine="0" autoPict="0" macro="[0]!复选框10_Click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55" r:id="rId36" name="Check Box 23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56" r:id="rId37" name="Check Box 24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57" r:id="rId38" name="Check Box 25">
          <controlPr defaultSize="0" autoFill="0" autoLine="0" autoPict="0" macro="[0]!复选框10_Click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58" r:id="rId39" name="Check Box 26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59" r:id="rId40" name="Check Box 27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60" r:id="rId41" name="Check Box 28">
          <controlPr defaultSize="0" autoFill="0" autoLine="0" autoPict="0" macro="[0]!复选框10_Click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61" r:id="rId42" name="Check Box 29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62" r:id="rId43" name="Check Box 30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63" r:id="rId44" name="Check Box 31">
          <controlPr defaultSize="0" autoFill="0" autoLine="0" autoPict="0" macro="[0]!复选框10_Click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64" r:id="rId45" name="Check Box 32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65" r:id="rId46" name="Check Box 33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66" r:id="rId47" name="Check Box 34">
          <controlPr defaultSize="0" autoFill="0" autoLine="0" autoPict="0" macro="[0]!复选框10_Click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67" r:id="rId48" name="Check Box 35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68" r:id="rId49" name="Check Box 36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69" r:id="rId50" name="Check Box 37">
          <controlPr defaultSize="0" autoFill="0" autoLine="0" autoPict="0" macro="[0]!复选框10_Click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70" r:id="rId51" name="Check Box 38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71" r:id="rId52" name="Check Box 39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72" r:id="rId53" name="Check Box 40">
          <controlPr defaultSize="0" autoFill="0" autoLine="0" autoPict="0" macro="[0]!复选框10_Click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73" r:id="rId54" name="Check Box 41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74" r:id="rId55" name="Check Box 42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75" r:id="rId56" name="Check Box 43">
          <controlPr defaultSize="0" autoFill="0" autoLine="0" autoPict="0" macro="[0]!复选框10_Click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76" r:id="rId57" name="Check Box 44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77" r:id="rId58" name="Check Box 45">
          <controlPr defaultSize="0" autoFill="0" autoLine="0" autoPict="0" altText="启用">
            <anchor moveWithCells="1">
              <from>
                <xdr:col>3</xdr:col>
                <xdr:colOff>152400</xdr:colOff>
                <xdr:row>2</xdr:row>
                <xdr:rowOff>200025</xdr:rowOff>
              </from>
              <to>
                <xdr:col>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78" r:id="rId59" name="Check Box 46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79" r:id="rId60" name="Check Box 47">
          <controlPr defaultSize="0" autoFill="0" autoLine="0" autoPict="0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80" r:id="rId61" name="Check Box 48">
          <controlPr defaultSize="0" autoFill="0" autoLine="0" autoPict="0" macro="[0]!复选框10_Click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81" r:id="rId62" name="Check Box 49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82" r:id="rId63" name="Check Box 50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83" r:id="rId64" name="Check Box 51">
          <controlPr defaultSize="0" autoFill="0" autoLine="0" autoPict="0" macro="[0]!复选框10_Click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84" r:id="rId65" name="Check Box 52">
          <controlPr defaultSize="0" autoFill="0" autoLine="0" autoPict="0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85" r:id="rId66" name="Check Box 53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86" r:id="rId67" name="Check Box 54">
          <controlPr defaultSize="0" autoFill="0" autoLine="0" autoPict="0" macro="[0]!复选框10_Click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87" r:id="rId68" name="Check Box 55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288" r:id="rId69" name="Check Box 56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Y39"/>
  <sheetViews>
    <sheetView showGridLines="0" zoomScale="106" zoomScaleNormal="106" workbookViewId="0">
      <pane xSplit="3" topLeftCell="D1" activePane="topRight" state="frozen"/>
      <selection pane="topRight" activeCell="D7" sqref="D7"/>
    </sheetView>
  </sheetViews>
  <sheetFormatPr defaultRowHeight="16.5" x14ac:dyDescent="0.15"/>
  <cols>
    <col min="1" max="1" width="9" style="2"/>
    <col min="2" max="2" width="16.75" style="2" customWidth="1"/>
    <col min="3" max="3" width="6" style="2" bestFit="1" customWidth="1"/>
    <col min="4" max="4" width="19.375" style="2" customWidth="1"/>
    <col min="5" max="5" width="23.5" style="2" bestFit="1" customWidth="1"/>
    <col min="6" max="6" width="20.125" style="2" bestFit="1" customWidth="1"/>
    <col min="7" max="7" width="22.5" style="2" customWidth="1"/>
    <col min="8" max="18" width="12.625" style="2" customWidth="1"/>
    <col min="19" max="16384" width="9" style="2"/>
  </cols>
  <sheetData>
    <row r="1" spans="1:25" ht="45.75" customHeight="1" x14ac:dyDescent="0.15">
      <c r="A1" s="6"/>
      <c r="B1" s="63" t="s">
        <v>61</v>
      </c>
      <c r="C1" s="63"/>
      <c r="D1" s="6"/>
      <c r="E1" s="44"/>
      <c r="F1" s="44"/>
      <c r="G1" s="44"/>
      <c r="H1" s="44"/>
      <c r="I1" s="44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</row>
    <row r="2" spans="1:25" ht="16.5" customHeight="1" x14ac:dyDescent="0.15">
      <c r="A2" s="44"/>
      <c r="B2" s="63"/>
      <c r="C2" s="63"/>
      <c r="D2" s="6">
        <f>数据源!J5</f>
        <v>0</v>
      </c>
      <c r="E2" s="6"/>
      <c r="F2" s="6"/>
      <c r="G2" s="6"/>
      <c r="H2" s="44"/>
      <c r="I2" s="44"/>
      <c r="J2" s="44"/>
      <c r="K2" s="44"/>
      <c r="L2" s="6"/>
      <c r="M2" s="6"/>
      <c r="N2" s="6"/>
      <c r="O2" s="6"/>
      <c r="P2" s="6"/>
      <c r="Q2" s="6"/>
      <c r="R2" s="6"/>
      <c r="S2" s="6"/>
      <c r="T2" s="6"/>
      <c r="U2" s="6"/>
      <c r="V2" s="6"/>
    </row>
    <row r="3" spans="1:25" ht="16.5" customHeight="1" x14ac:dyDescent="0.15">
      <c r="A3" s="44"/>
      <c r="B3" s="64"/>
      <c r="C3" s="64"/>
      <c r="D3" s="25">
        <v>1</v>
      </c>
      <c r="E3" s="25">
        <v>2</v>
      </c>
      <c r="F3" s="25">
        <v>3</v>
      </c>
      <c r="G3" s="25">
        <v>4</v>
      </c>
      <c r="H3" s="25">
        <v>5</v>
      </c>
      <c r="I3" s="25">
        <v>6</v>
      </c>
      <c r="J3" s="25">
        <v>7</v>
      </c>
      <c r="K3" s="25">
        <v>8</v>
      </c>
      <c r="L3" s="25">
        <v>9</v>
      </c>
      <c r="M3" s="25">
        <v>10</v>
      </c>
      <c r="N3" s="25">
        <v>11</v>
      </c>
      <c r="O3" s="25">
        <v>12</v>
      </c>
      <c r="P3" s="25">
        <v>13</v>
      </c>
      <c r="Q3" s="25">
        <v>14</v>
      </c>
      <c r="R3" s="25">
        <v>15</v>
      </c>
      <c r="S3" s="6"/>
      <c r="T3" s="6"/>
      <c r="U3" s="6"/>
      <c r="V3" s="44"/>
      <c r="W3" s="44"/>
      <c r="X3" s="44"/>
      <c r="Y3" s="44"/>
    </row>
    <row r="4" spans="1:25" x14ac:dyDescent="0.15">
      <c r="A4" s="44"/>
      <c r="B4" s="25"/>
      <c r="C4" s="28" t="b">
        <v>1</v>
      </c>
      <c r="D4" s="23" t="b">
        <v>1</v>
      </c>
      <c r="E4" s="24" t="b">
        <v>1</v>
      </c>
      <c r="F4" s="24" t="b">
        <v>1</v>
      </c>
      <c r="G4" s="24" t="b">
        <v>1</v>
      </c>
      <c r="H4" s="24" t="b">
        <v>0</v>
      </c>
      <c r="I4" s="24" t="b">
        <v>0</v>
      </c>
      <c r="J4" s="24" t="b">
        <v>0</v>
      </c>
      <c r="K4" s="24" t="b">
        <v>0</v>
      </c>
      <c r="L4" s="24" t="b">
        <v>0</v>
      </c>
      <c r="M4" s="24" t="b">
        <v>0</v>
      </c>
      <c r="N4" s="24" t="b">
        <v>0</v>
      </c>
      <c r="O4" s="24" t="b">
        <v>0</v>
      </c>
      <c r="P4" s="24" t="b">
        <v>0</v>
      </c>
      <c r="Q4" s="24" t="b">
        <v>0</v>
      </c>
      <c r="R4" s="24" t="b">
        <v>0</v>
      </c>
      <c r="S4" s="44"/>
      <c r="T4" s="44"/>
      <c r="U4" s="44"/>
      <c r="V4" s="44"/>
      <c r="W4" s="44"/>
      <c r="X4" s="44"/>
      <c r="Y4" s="44"/>
    </row>
    <row r="5" spans="1:25" s="4" customFormat="1" x14ac:dyDescent="0.15">
      <c r="A5" s="44"/>
      <c r="B5" s="25" t="s">
        <v>24</v>
      </c>
      <c r="C5" s="26"/>
      <c r="D5" s="21" t="s">
        <v>80</v>
      </c>
      <c r="E5" s="21" t="s">
        <v>74</v>
      </c>
      <c r="F5" s="21" t="s">
        <v>101</v>
      </c>
      <c r="G5" s="21" t="s">
        <v>109</v>
      </c>
      <c r="H5" s="21" t="s">
        <v>99</v>
      </c>
      <c r="I5" s="21" t="s">
        <v>109</v>
      </c>
      <c r="J5" s="21" t="s">
        <v>112</v>
      </c>
      <c r="K5" s="21" t="s">
        <v>77</v>
      </c>
      <c r="L5" s="21" t="s">
        <v>29</v>
      </c>
      <c r="M5" s="21" t="s">
        <v>30</v>
      </c>
      <c r="N5" s="21" t="s">
        <v>30</v>
      </c>
      <c r="O5" s="21" t="s">
        <v>63</v>
      </c>
      <c r="P5" s="21" t="s">
        <v>31</v>
      </c>
      <c r="Q5" s="21" t="s">
        <v>29</v>
      </c>
      <c r="R5" s="21" t="s">
        <v>29</v>
      </c>
      <c r="S5" s="44"/>
      <c r="T5" s="44"/>
      <c r="U5" s="44"/>
      <c r="V5" s="44"/>
      <c r="W5" s="44"/>
      <c r="X5" s="44"/>
      <c r="Y5" s="44"/>
    </row>
    <row r="6" spans="1:25" s="4" customFormat="1" ht="21.75" customHeight="1" x14ac:dyDescent="0.15">
      <c r="A6" s="44"/>
      <c r="B6" s="27" t="s">
        <v>0</v>
      </c>
      <c r="C6" s="26"/>
      <c r="D6" s="45" t="s">
        <v>120</v>
      </c>
      <c r="E6" s="45" t="s">
        <v>82</v>
      </c>
      <c r="F6" s="45" t="s">
        <v>98</v>
      </c>
      <c r="G6" s="45" t="s">
        <v>119</v>
      </c>
      <c r="H6" s="45" t="s">
        <v>100</v>
      </c>
      <c r="I6" s="45" t="s">
        <v>110</v>
      </c>
      <c r="J6" s="45" t="s">
        <v>113</v>
      </c>
      <c r="K6" s="45" t="s">
        <v>78</v>
      </c>
      <c r="L6" s="45" t="s">
        <v>65</v>
      </c>
      <c r="M6" s="45" t="s">
        <v>69</v>
      </c>
      <c r="N6" s="45" t="s">
        <v>66</v>
      </c>
      <c r="O6" s="45" t="s">
        <v>67</v>
      </c>
      <c r="P6" s="45" t="s">
        <v>53</v>
      </c>
      <c r="Q6" s="45" t="s">
        <v>59</v>
      </c>
      <c r="R6" s="45" t="s">
        <v>56</v>
      </c>
      <c r="S6" s="44"/>
      <c r="T6" s="44"/>
      <c r="U6" s="44"/>
      <c r="V6" s="44"/>
      <c r="W6" s="44"/>
      <c r="X6" s="44"/>
      <c r="Y6" s="44"/>
    </row>
    <row r="7" spans="1:25" s="4" customFormat="1" ht="17.25" thickBot="1" x14ac:dyDescent="0.2">
      <c r="A7" s="44"/>
      <c r="B7" s="27" t="s">
        <v>57</v>
      </c>
      <c r="C7" s="28" t="s">
        <v>25</v>
      </c>
      <c r="D7" s="42" t="s">
        <v>122</v>
      </c>
      <c r="E7" s="42" t="s">
        <v>88</v>
      </c>
      <c r="F7" s="42" t="s">
        <v>118</v>
      </c>
      <c r="G7" s="42" t="s">
        <v>111</v>
      </c>
      <c r="H7" s="42" t="s">
        <v>72</v>
      </c>
      <c r="I7" s="42" t="s">
        <v>111</v>
      </c>
      <c r="J7" s="42" t="s">
        <v>114</v>
      </c>
      <c r="K7" s="42" t="s">
        <v>92</v>
      </c>
      <c r="L7" s="42" t="s">
        <v>54</v>
      </c>
      <c r="M7" s="42" t="s">
        <v>64</v>
      </c>
      <c r="N7" s="42" t="s">
        <v>64</v>
      </c>
      <c r="O7" s="42" t="s">
        <v>62</v>
      </c>
      <c r="P7" s="42" t="s">
        <v>62</v>
      </c>
      <c r="Q7" s="42" t="s">
        <v>54</v>
      </c>
      <c r="R7" s="42" t="s">
        <v>54</v>
      </c>
      <c r="S7" s="44"/>
      <c r="T7" s="44"/>
      <c r="U7" s="44"/>
      <c r="V7" s="44"/>
      <c r="W7" s="44"/>
      <c r="X7" s="44"/>
      <c r="Y7" s="44"/>
    </row>
    <row r="8" spans="1:25" ht="17.25" thickTop="1" x14ac:dyDescent="0.15">
      <c r="A8" s="44"/>
      <c r="B8" s="25" t="s">
        <v>58</v>
      </c>
      <c r="C8" s="26" t="s">
        <v>1</v>
      </c>
      <c r="D8" s="15">
        <f>LOOKUP(1,0/((数据源!$A$2:$A$160=D5)*(数据源!$B$2:$B$160=D6)*(数据源!$C$2:$C$160=D7)),数据源!$D$2:$D$160)</f>
        <v>-1.3</v>
      </c>
      <c r="E8" s="15">
        <f>LOOKUP(1,0/((数据源!$A$2:$A$160=E5)*(数据源!$B$2:$B$160=E6)*(数据源!$C$2:$C$160=E7)),数据源!$D$2:$D$160)</f>
        <v>-2.4</v>
      </c>
      <c r="F8" s="15">
        <f>LOOKUP(1,0/((数据源!$A$2:$A$160=F5)*(数据源!$B$2:$B$160=F6)*(数据源!$C$2:$C$160=F7)),数据源!$D$2:$D$160)</f>
        <v>-0.8</v>
      </c>
      <c r="G8" s="15">
        <f>LOOKUP(1,0/((数据源!$A$2:$A$160=G5)*(数据源!$B$2:$B$160=G6)*(数据源!$C$2:$C$160=G7)),数据源!$D$2:$D$160)</f>
        <v>56</v>
      </c>
      <c r="H8" s="15">
        <f>LOOKUP(1,0/((数据源!$A$2:$A$160=H5)*(数据源!$B$2:$B$160=H6)*(数据源!$C$2:$C$160=H7)),数据源!$D$2:$D$160)</f>
        <v>15</v>
      </c>
      <c r="I8" s="15">
        <f>LOOKUP(1,0/((数据源!$A$2:$A$160=I5)*(数据源!$B$2:$B$160=I6)*(数据源!$C$2:$C$160=I7)),数据源!$D$2:$D$160)</f>
        <v>56</v>
      </c>
      <c r="J8" s="15">
        <f>LOOKUP(1,0/((数据源!$A$2:$A$160=J5)*(数据源!$B$2:$B$160=J6)*(数据源!$C$2:$C$160=J7)),数据源!$D$2:$D$160)</f>
        <v>-0.7</v>
      </c>
      <c r="K8" s="15">
        <f>LOOKUP(1,0/((数据源!$A$2:$A$160=K5)*(数据源!$B$2:$B$160=K6)*(数据源!$C$2:$C$160=K7)),数据源!$D$2:$D$160)</f>
        <v>56</v>
      </c>
      <c r="L8" s="15">
        <f>LOOKUP(1,0/((数据源!$A$2:$A$160=L5)*(数据源!$B$2:$B$160=L6)*(数据源!$C$2:$C$160=L7)),数据源!$D$2:$D$160)</f>
        <v>-2</v>
      </c>
      <c r="M8" s="15" t="e">
        <f>LOOKUP(1,0/((数据源!$A$2:$A$160=M5)*(数据源!$B$2:$B$160=M6)*(数据源!$C$2:$C$160=M7)),数据源!$D$2:$D$160)</f>
        <v>#N/A</v>
      </c>
      <c r="N8" s="15" t="e">
        <f>LOOKUP(1,0/((数据源!$A$2:$A$160=N5)*(数据源!$B$2:$B$160=N6)*(数据源!$C$2:$C$160=N7)),数据源!$D$2:$D$160)</f>
        <v>#N/A</v>
      </c>
      <c r="O8" s="15" t="e">
        <f>LOOKUP(1,0/((数据源!$A$2:$A$160=O5)*(数据源!$B$2:$B$160=O6)*(数据源!$C$2:$C$160=O7)),数据源!$D$2:$D$160)</f>
        <v>#N/A</v>
      </c>
      <c r="P8" s="15" t="e">
        <f>LOOKUP(1,0/((数据源!$A$2:$A$160=P5)*(数据源!$B$2:$B$160=P6)*(数据源!$C$2:$C$160=P7)),数据源!$D$2:$D$160)</f>
        <v>#N/A</v>
      </c>
      <c r="Q8" s="15">
        <f>LOOKUP(1,0/((数据源!$A$2:$A$160=Q5)*(数据源!$B$2:$B$160=Q6)*(数据源!$C$2:$C$160=Q7)),数据源!$D$2:$D$160)</f>
        <v>-5</v>
      </c>
      <c r="R8" s="15">
        <f>LOOKUP(1,0/((数据源!$A$2:$A$160=R5)*(数据源!$B$2:$B$160=R6)*(数据源!$C$2:$C$160=R7)),数据源!$D$2:$D$160)</f>
        <v>-8</v>
      </c>
      <c r="S8" s="44"/>
      <c r="T8" s="44"/>
      <c r="U8" s="44"/>
      <c r="V8" s="44"/>
      <c r="W8" s="44"/>
      <c r="X8" s="44"/>
      <c r="Y8" s="44"/>
    </row>
    <row r="9" spans="1:25" x14ac:dyDescent="0.15">
      <c r="A9" s="44"/>
      <c r="B9" s="25" t="s">
        <v>2</v>
      </c>
      <c r="C9" s="26" t="s">
        <v>1</v>
      </c>
      <c r="D9" s="12">
        <f>LOOKUP(1,0/((数据源!$A$2:$A$160=D5)*(数据源!$B$2:$B$160=D6)*(数据源!$C$2:$C$160=D7)),数据源!$E$2:$E$160)</f>
        <v>1.3</v>
      </c>
      <c r="E9" s="12">
        <f>LOOKUP(1,0/((数据源!$A$2:$A$160=E5)*(数据源!$B$2:$B$160=E6)*(数据源!$C$2:$C$160=E7)),数据源!$E$2:$E$160)</f>
        <v>2.4</v>
      </c>
      <c r="F9" s="12">
        <f>LOOKUP(1,0/((数据源!$A$2:$A$160=F5)*(数据源!$B$2:$B$160=F6)*(数据源!$C$2:$C$160=F7)),数据源!$E$2:$E$160)</f>
        <v>0.8</v>
      </c>
      <c r="G9" s="12">
        <f>LOOKUP(1,0/((数据源!$A$2:$A$160=G5)*(数据源!$B$2:$B$160=G6)*(数据源!$C$2:$C$160=G7)),数据源!$E$2:$E$160)</f>
        <v>2.7</v>
      </c>
      <c r="H9" s="12">
        <f>LOOKUP(1,0/((数据源!$A$2:$A$160=H5)*(数据源!$B$2:$B$160=H6)*(数据源!$C$2:$C$160=H7)),数据源!$E$2:$E$160)</f>
        <v>0.7</v>
      </c>
      <c r="I9" s="12">
        <f>LOOKUP(1,0/((数据源!$A$2:$A$160=I5)*(数据源!$B$2:$B$160=I6)*(数据源!$C$2:$C$160=I7)),数据源!$E$2:$E$160)</f>
        <v>2.7</v>
      </c>
      <c r="J9" s="12">
        <f>LOOKUP(1,0/((数据源!$A$2:$A$160=J5)*(数据源!$B$2:$B$160=J6)*(数据源!$C$2:$C$160=J7)),数据源!$E$2:$E$160)</f>
        <v>0.7</v>
      </c>
      <c r="K9" s="12">
        <f>LOOKUP(1,0/((数据源!$A$2:$A$160=K5)*(数据源!$B$2:$B$160=K6)*(数据源!$C$2:$C$160=K7)),数据源!$E$2:$E$160)</f>
        <v>2.7</v>
      </c>
      <c r="L9" s="12">
        <f>LOOKUP(1,0/((数据源!$A$2:$A$160=L5)*(数据源!$B$2:$B$160=L6)*(数据源!$C$2:$C$160=L7)),数据源!$E$2:$E$160)</f>
        <v>2</v>
      </c>
      <c r="M9" s="12" t="e">
        <f>LOOKUP(1,0/((数据源!$A$2:$A$160=M5)*(数据源!$B$2:$B$160=M6)*(数据源!$C$2:$C$160=M7)),数据源!$E$2:$E$160)</f>
        <v>#N/A</v>
      </c>
      <c r="N9" s="12" t="e">
        <f>LOOKUP(1,0/((数据源!$A$2:$A$160=N5)*(数据源!$B$2:$B$160=N6)*(数据源!$C$2:$C$160=N7)),数据源!$E$2:$E$160)</f>
        <v>#N/A</v>
      </c>
      <c r="O9" s="12" t="e">
        <f>LOOKUP(1,0/((数据源!$A$2:$A$160=O5)*(数据源!$B$2:$B$160=O6)*(数据源!$C$2:$C$160=O7)),数据源!$E$2:$E$160)</f>
        <v>#N/A</v>
      </c>
      <c r="P9" s="12" t="e">
        <f>LOOKUP(1,0/((数据源!$A$2:$A$160=P5)*(数据源!$B$2:$B$160=P6)*(数据源!$C$2:$C$160=P7)),数据源!$E$2:$E$160)</f>
        <v>#N/A</v>
      </c>
      <c r="Q9" s="12">
        <f>LOOKUP(1,0/((数据源!$A$2:$A$160=Q5)*(数据源!$B$2:$B$160=Q6)*(数据源!$C$2:$C$160=Q7)),数据源!$E$2:$E$160)</f>
        <v>5</v>
      </c>
      <c r="R9" s="12">
        <f>LOOKUP(1,0/((数据源!$A$2:$A$160=R5)*(数据源!$B$2:$B$160=R6)*(数据源!$C$2:$C$160=R7)),数据源!$E$2:$E$160)</f>
        <v>8</v>
      </c>
      <c r="S9" s="44"/>
      <c r="T9" s="44"/>
      <c r="U9" s="44"/>
      <c r="V9" s="44"/>
      <c r="W9" s="44"/>
      <c r="X9" s="44"/>
      <c r="Y9" s="44"/>
    </row>
    <row r="10" spans="1:25" x14ac:dyDescent="0.15">
      <c r="A10" s="44"/>
      <c r="B10" s="25" t="s">
        <v>55</v>
      </c>
      <c r="C10" s="26" t="s">
        <v>3</v>
      </c>
      <c r="D10" s="12">
        <f>LOOKUP(1,0/((数据源!$A$2:$A$160=D5)*(数据源!$B$2:$B$160=D6)*(数据源!$C$2:$C$160=D7)),数据源!$F$2:$F$160)</f>
        <v>60</v>
      </c>
      <c r="E10" s="12">
        <f>LOOKUP(1,0/((数据源!$A$2:$A$160=E5)*(数据源!$B$2:$B$160=E6)*(数据源!$C$2:$C$160=E7)),数据源!$F$2:$F$160)</f>
        <v>60</v>
      </c>
      <c r="F10" s="12">
        <f>LOOKUP(1,0/((数据源!$A$2:$A$160=F5)*(数据源!$B$2:$B$160=F6)*(数据源!$C$2:$C$160=F7)),数据源!$F$2:$F$160)</f>
        <v>0</v>
      </c>
      <c r="G10" s="12">
        <f>LOOKUP(1,0/((数据源!$A$2:$A$160=G5)*(数据源!$B$2:$B$160=G6)*(数据源!$C$2:$C$160=G7)),数据源!$F$2:$F$160)</f>
        <v>60</v>
      </c>
      <c r="H10" s="12">
        <f>LOOKUP(1,0/((数据源!$A$2:$A$160=H5)*(数据源!$B$2:$B$160=H6)*(数据源!$C$2:$C$160=H7)),数据源!$F$2:$F$160)</f>
        <v>15</v>
      </c>
      <c r="I10" s="12">
        <f>LOOKUP(1,0/((数据源!$A$2:$A$160=I5)*(数据源!$B$2:$B$160=I6)*(数据源!$C$2:$C$160=I7)),数据源!$F$2:$F$160)</f>
        <v>60</v>
      </c>
      <c r="J10" s="12">
        <f>LOOKUP(1,0/((数据源!$A$2:$A$160=J5)*(数据源!$B$2:$B$160=J6)*(数据源!$C$2:$C$160=J7)),数据源!$F$2:$F$160)</f>
        <v>60</v>
      </c>
      <c r="K10" s="12">
        <f>LOOKUP(1,0/((数据源!$A$2:$A$160=K5)*(数据源!$B$2:$B$160=K6)*(数据源!$C$2:$C$160=K7)),数据源!$F$2:$F$160)</f>
        <v>60</v>
      </c>
      <c r="L10" s="12">
        <f>LOOKUP(1,0/((数据源!$A$2:$A$160=L5)*(数据源!$B$2:$B$160=L6)*(数据源!$C$2:$C$160=L7)),数据源!$F$2:$F$160)</f>
        <v>1000</v>
      </c>
      <c r="M10" s="12" t="e">
        <f>LOOKUP(1,0/((数据源!$A$2:$A$160=M5)*(数据源!$B$2:$B$160=M6)*(数据源!$C$2:$C$160=M7)),数据源!$F$2:$F$160)</f>
        <v>#N/A</v>
      </c>
      <c r="N10" s="12" t="e">
        <f>LOOKUP(1,0/((数据源!$A$2:$A$160=N5)*(数据源!$B$2:$B$160=N6)*(数据源!$C$2:$C$160=N7)),数据源!$F$2:$F$160)</f>
        <v>#N/A</v>
      </c>
      <c r="O10" s="12" t="e">
        <f>LOOKUP(1,0/((数据源!$A$2:$A$160=O5)*(数据源!$B$2:$B$160=O6)*(数据源!$C$2:$C$160=O7)),数据源!$F$2:$F$160)</f>
        <v>#N/A</v>
      </c>
      <c r="P10" s="12" t="e">
        <f>LOOKUP(1,0/((数据源!$A$2:$A$160=P5)*(数据源!$B$2:$B$160=P6)*(数据源!$C$2:$C$160=P7)),数据源!$F$2:$F$160)</f>
        <v>#N/A</v>
      </c>
      <c r="Q10" s="12">
        <f>LOOKUP(1,0/((数据源!$A$2:$A$160=Q5)*(数据源!$B$2:$B$160=Q6)*(数据源!$C$2:$C$160=Q7)),数据源!$F$2:$F$160)</f>
        <v>1000</v>
      </c>
      <c r="R10" s="12">
        <f>LOOKUP(1,0/((数据源!$A$2:$A$160=R5)*(数据源!$B$2:$B$160=R6)*(数据源!$C$2:$C$160=R7)),数据源!$F$2:$F$160)</f>
        <v>1000</v>
      </c>
      <c r="S10" s="44"/>
      <c r="T10" s="44"/>
      <c r="U10" s="44"/>
      <c r="V10" s="44"/>
      <c r="W10" s="44"/>
      <c r="X10" s="44"/>
      <c r="Y10" s="44"/>
    </row>
    <row r="11" spans="1:25" ht="17.25" thickBot="1" x14ac:dyDescent="0.2">
      <c r="A11" s="6"/>
      <c r="B11" s="29" t="s">
        <v>4</v>
      </c>
      <c r="C11" s="30" t="s">
        <v>3</v>
      </c>
      <c r="D11" s="13">
        <f>LOOKUP(1,0/((数据源!$A$2:$A$160=D5)*(数据源!$B$2:$B$160=D6)*(数据源!$C$2:$C$160=D7)),数据源!$G$2:$G$160)</f>
        <v>60</v>
      </c>
      <c r="E11" s="13">
        <f>LOOKUP(1,0/((数据源!$A$2:$A$160=E5)*(数据源!$B$2:$B$160=E6)*(数据源!$C$2:$C$160=E7)),数据源!$G$2:$G$160)</f>
        <v>60</v>
      </c>
      <c r="F11" s="13">
        <f>LOOKUP(1,0/((数据源!$A$2:$A$160=F5)*(数据源!$B$2:$B$160=F6)*(数据源!$C$2:$C$160=F7)),数据源!$G$2:$G$160)</f>
        <v>0</v>
      </c>
      <c r="G11" s="13">
        <f>LOOKUP(1,0/((数据源!$A$2:$A$160=G5)*(数据源!$B$2:$B$160=G6)*(数据源!$C$2:$C$160=G7)),数据源!$G$2:$G$160)</f>
        <v>60</v>
      </c>
      <c r="H11" s="13">
        <f>LOOKUP(1,0/((数据源!$A$2:$A$160=H5)*(数据源!$B$2:$B$160=H6)*(数据源!$C$2:$C$160=H7)),数据源!$G$2:$G$160)</f>
        <v>16</v>
      </c>
      <c r="I11" s="13">
        <f>LOOKUP(1,0/((数据源!$A$2:$A$160=I5)*(数据源!$B$2:$B$160=I6)*(数据源!$C$2:$C$160=I7)),数据源!$G$2:$G$160)</f>
        <v>60</v>
      </c>
      <c r="J11" s="13">
        <f>LOOKUP(1,0/((数据源!$A$2:$A$160=J5)*(数据源!$B$2:$B$160=J6)*(数据源!$C$2:$C$160=J7)),数据源!$G$2:$G$160)</f>
        <v>60</v>
      </c>
      <c r="K11" s="13">
        <f>LOOKUP(1,0/((数据源!$A$2:$A$160=K5)*(数据源!$B$2:$B$160=K6)*(数据源!$C$2:$C$160=K7)),数据源!$G$2:$G$160)</f>
        <v>60</v>
      </c>
      <c r="L11" s="13">
        <f>LOOKUP(1,0/((数据源!$A$2:$A$160=L5)*(数据源!$B$2:$B$160=L6)*(数据源!$C$2:$C$160=L7)),数据源!$G$2:$G$160)</f>
        <v>1000</v>
      </c>
      <c r="M11" s="13" t="e">
        <f>LOOKUP(1,0/((数据源!$A$2:$A$160=M5)*(数据源!$B$2:$B$160=M6)*(数据源!$C$2:$C$160=M7)),数据源!$G$2:$G$160)</f>
        <v>#N/A</v>
      </c>
      <c r="N11" s="13" t="e">
        <f>LOOKUP(1,0/((数据源!$A$2:$A$160=N5)*(数据源!$B$2:$B$160=N6)*(数据源!$C$2:$C$160=N7)),数据源!$G$2:$G$160)</f>
        <v>#N/A</v>
      </c>
      <c r="O11" s="13" t="e">
        <f>LOOKUP(1,0/((数据源!$A$2:$A$160=O5)*(数据源!$B$2:$B$160=O6)*(数据源!$C$2:$C$160=O7)),数据源!$G$2:$G$160)</f>
        <v>#N/A</v>
      </c>
      <c r="P11" s="13" t="e">
        <f>LOOKUP(1,0/((数据源!$A$2:$A$160=P5)*(数据源!$B$2:$B$160=P6)*(数据源!$C$2:$C$160=P7)),数据源!$G$2:$G$160)</f>
        <v>#N/A</v>
      </c>
      <c r="Q11" s="13">
        <f>LOOKUP(1,0/((数据源!$A$2:$A$160=Q5)*(数据源!$B$2:$B$160=Q6)*(数据源!$C$2:$C$160=Q7)),数据源!$G$2:$G$160)</f>
        <v>1000</v>
      </c>
      <c r="R11" s="13">
        <f>LOOKUP(1,0/((数据源!$A$2:$A$160=R5)*(数据源!$B$2:$B$160=R6)*(数据源!$C$2:$C$160=R7)),数据源!$G$2:$G$160)</f>
        <v>1000</v>
      </c>
      <c r="S11" s="44"/>
      <c r="T11" s="44"/>
      <c r="U11" s="44"/>
      <c r="V11" s="44"/>
      <c r="W11" s="44"/>
      <c r="X11" s="44"/>
      <c r="Y11" s="44"/>
    </row>
    <row r="12" spans="1:25" ht="17.25" thickTop="1" x14ac:dyDescent="0.15">
      <c r="A12" s="48">
        <f>M23</f>
        <v>-98.114574719691234</v>
      </c>
      <c r="B12" s="31" t="s">
        <v>5</v>
      </c>
      <c r="C12" s="32" t="s">
        <v>1</v>
      </c>
      <c r="D12" s="14">
        <f>IF(AND(D4&lt;&gt;FALSE,D8&lt;&gt;""),D8,"")</f>
        <v>-1.3</v>
      </c>
      <c r="E12" s="11">
        <f>IF(OR($D$4:E$4)=FALSE,"",IF(E$4=FALSE,D12,IF(OR($D$4:D4)=FALSE,E8,E8+D12)))</f>
        <v>-3.7</v>
      </c>
      <c r="F12" s="11">
        <f>IF(OR($D$4:F$4)=FALSE,"",IF(F$4=FALSE,E12,IF(OR($D$4:E4)=FALSE,F8,F8+E12)))</f>
        <v>-4.5</v>
      </c>
      <c r="G12" s="11">
        <f>IF(OR($D$4:G$4)=FALSE,"",IF(G$4=FALSE,F12,IF(OR($D$4:F4)=FALSE,G8,G8+F12)))</f>
        <v>51.5</v>
      </c>
      <c r="H12" s="11">
        <f>IF(OR($D$4:H$4)=FALSE,"",IF(H$4=FALSE,G12,IF(OR($D$4:G4)=FALSE,H8,H8+G12)))</f>
        <v>51.5</v>
      </c>
      <c r="I12" s="11">
        <f>IF(OR($D$4:I$4)=FALSE,"",IF(I$4=FALSE,H12,IF(OR($D$4:H4)=FALSE,I8,I8+H12)))</f>
        <v>51.5</v>
      </c>
      <c r="J12" s="11">
        <f>IF(OR($D$4:J$4)=FALSE,"",IF(J$4=FALSE,I12,IF(OR($D$4:I4)=FALSE,J8,J8+I12)))</f>
        <v>51.5</v>
      </c>
      <c r="K12" s="11">
        <f>IF(OR($D$4:K$4)=FALSE,"",IF(K$4=FALSE,J12,IF(OR($D$4:J4)=FALSE,K8,K8+J12)))</f>
        <v>51.5</v>
      </c>
      <c r="L12" s="11">
        <f>IF(OR($D$4:L$4)=FALSE,"",IF(L$4=FALSE,K12,IF(OR($D$4:K4)=FALSE,L8,L8+K12)))</f>
        <v>51.5</v>
      </c>
      <c r="M12" s="11">
        <f>IF(OR($D$4:M$4)=FALSE,"",IF(M$4=FALSE,L12,IF(OR($D$4:L4)=FALSE,M8,M8+L12)))</f>
        <v>51.5</v>
      </c>
      <c r="N12" s="11">
        <f>IF(OR($D$4:N$4)=FALSE,"",IF(N$4=FALSE,M12,IF(OR($D$4:M4)=FALSE,N8,N8+M12)))</f>
        <v>51.5</v>
      </c>
      <c r="O12" s="11">
        <f>IF(OR($D$4:O$4)=FALSE,"",IF(O$4=FALSE,N12,IF(OR($D$4:N4)=FALSE,O8,O8+N12)))</f>
        <v>51.5</v>
      </c>
      <c r="P12" s="11">
        <f>IF(OR($D$4:P$4)=FALSE,"",IF(P$4=FALSE,O12,IF(OR($D$4:O4)=FALSE,P8,P8+O12)))</f>
        <v>51.5</v>
      </c>
      <c r="Q12" s="11">
        <f>IF(OR($D$4:Q$4)=FALSE,"",IF(Q$4=FALSE,P12,IF(OR($D$4:P4)=FALSE,Q8,Q8+P12)))</f>
        <v>51.5</v>
      </c>
      <c r="R12" s="11">
        <f>IF(OR($D$4:R$4)=FALSE,"",IF(R$4=FALSE,Q12,IF(OR($D$4:Q4)=FALSE,R8,R8+Q12)))</f>
        <v>51.5</v>
      </c>
      <c r="S12" s="44"/>
      <c r="T12" s="44"/>
      <c r="U12" s="44"/>
      <c r="V12" s="44"/>
      <c r="W12" s="44"/>
      <c r="X12" s="44"/>
      <c r="Y12" s="44"/>
    </row>
    <row r="13" spans="1:25" x14ac:dyDescent="0.15">
      <c r="A13" s="6"/>
      <c r="B13" s="33" t="s">
        <v>6</v>
      </c>
      <c r="C13" s="34" t="s">
        <v>1</v>
      </c>
      <c r="D13" s="12">
        <f>IF(AND(D4&lt;&gt;FALSE,D9&lt;&gt;""),D9,"")</f>
        <v>1.3</v>
      </c>
      <c r="E13" s="10">
        <f>IF(OR($D$4:E$4)=FALSE,"",IF(E$4=FALSE,D13,IF(OR($D$4:D$4)=FALSE,E9,10*LOG(10^(D13/10)+(10^(E9/10)-1)/10^(D12/10)))))</f>
        <v>3.7000000000000006</v>
      </c>
      <c r="F13" s="10">
        <f>IF(OR($D$4:F$4)=FALSE,"",IF(F$4=FALSE,E13,IF(OR($D$4:E$4)=FALSE,F9,10*LOG(10^(E13/10)+(10^(F9/10)-1)/10^(E12/10)))))</f>
        <v>4.5000000000000009</v>
      </c>
      <c r="G13" s="10">
        <f>IF(OR($D$4:G$4)=FALSE,"",IF(G$4=FALSE,F13,IF(OR($D$4:F$4)=FALSE,G9,10*LOG(10^(F13/10)+(10^(G9/10)-1)/10^(F12/10)))))</f>
        <v>7.2000000000000011</v>
      </c>
      <c r="H13" s="10">
        <f>IF(OR($D$4:H$4)=FALSE,"",IF(H$4=FALSE,G13,IF(OR($D$4:G$4)=FALSE,H9,10*LOG(10^(G13/10)+(10^(H9/10)-1)/10^(G12/10)))))</f>
        <v>7.2000000000000011</v>
      </c>
      <c r="I13" s="10">
        <f>IF(OR($D$4:I$4)=FALSE,"",IF(I$4=FALSE,H13,IF(OR($D$4:H$4)=FALSE,I9,10*LOG(10^(H13/10)+(10^(I9/10)-1)/10^(H12/10)))))</f>
        <v>7.2000000000000011</v>
      </c>
      <c r="J13" s="10">
        <f>IF(OR($D$4:J$4)=FALSE,"",IF(J$4=FALSE,I13,IF(OR($D$4:I$4)=FALSE,J9,10*LOG(10^(I13/10)+(10^(J9/10)-1)/10^(I12/10)))))</f>
        <v>7.2000000000000011</v>
      </c>
      <c r="K13" s="10">
        <f>IF(OR($D$4:K$4)=FALSE,"",IF(K$4=FALSE,J13,IF(OR($D$4:J$4)=FALSE,K9,10*LOG(10^(J13/10)+(10^(K9/10)-1)/10^(J12/10)))))</f>
        <v>7.2000000000000011</v>
      </c>
      <c r="L13" s="10">
        <f>IF(OR($D$4:L$4)=FALSE,"",IF(L$4=FALSE,K13,IF(OR($D$4:K$4)=FALSE,L9,10*LOG(10^(K13/10)+(10^(L9/10)-1)/10^(K12/10)))))</f>
        <v>7.2000000000000011</v>
      </c>
      <c r="M13" s="10">
        <f>IF(OR($D$4:M$4)=FALSE,"",IF(M$4=FALSE,L13,IF(OR($D$4:L$4)=FALSE,M9,10*LOG(10^(L13/10)+(10^(M9/10)-1)/10^(L12/10)))))</f>
        <v>7.2000000000000011</v>
      </c>
      <c r="N13" s="10">
        <f>IF(OR($D$4:N$4)=FALSE,"",IF(N$4=FALSE,M13,IF(OR($D$4:M$4)=FALSE,N9,10*LOG(10^(M13/10)+(10^(N9/10)-1)/10^(M12/10)))))</f>
        <v>7.2000000000000011</v>
      </c>
      <c r="O13" s="10">
        <f>IF(OR($D$4:O$4)=FALSE,"",IF(O$4=FALSE,N13,IF(OR($D$4:N$4)=FALSE,O9,10*LOG(10^(N13/10)+(10^(O9/10)-1)/10^(N12/10)))))</f>
        <v>7.2000000000000011</v>
      </c>
      <c r="P13" s="10">
        <f>IF(OR($D$4:P$4)=FALSE,"",IF(P$4=FALSE,O13,IF(OR($D$4:O$4)=FALSE,P9,10*LOG(10^(O13/10)+(10^(P9/10)-1)/10^(O12/10)))))</f>
        <v>7.2000000000000011</v>
      </c>
      <c r="Q13" s="10">
        <f>IF(OR($D$4:Q$4)=FALSE,"",IF(Q$4=FALSE,P13,IF(OR($D$4:P$4)=FALSE,Q9,10*LOG(10^(P13/10)+(10^(Q9/10)-1)/10^(P12/10)))))</f>
        <v>7.2000000000000011</v>
      </c>
      <c r="R13" s="10">
        <f>IF(OR($D$4:R$4)=FALSE,"",IF(R$4=FALSE,Q13,IF(OR($D$4:Q$4)=FALSE,R9,10*LOG(10^(Q13/10)+(10^(R9/10)-1)/10^(Q12/10)))))</f>
        <v>7.2000000000000011</v>
      </c>
      <c r="S13" s="6"/>
      <c r="T13" s="6"/>
      <c r="U13" s="6"/>
      <c r="V13" s="6"/>
    </row>
    <row r="14" spans="1:25" x14ac:dyDescent="0.15">
      <c r="A14" s="6"/>
      <c r="B14" s="33" t="s">
        <v>7</v>
      </c>
      <c r="C14" s="34" t="s">
        <v>3</v>
      </c>
      <c r="D14" s="12">
        <f>IF(AND(D4&lt;&gt;FALSE,D10&lt;&gt;""),D10,"")</f>
        <v>60</v>
      </c>
      <c r="E14" s="10">
        <f>IF(OR($D$4:E$4)=FALSE,"",IF(E$4=FALSE,D14,IF(OR($D$4:D$4)=FALSE,E10,10*LOG(1/(1/10^(E10/10)+1/(10^(D14/10)*10^(E8/10)))))))</f>
        <v>55.625981493800289</v>
      </c>
      <c r="F14" s="10">
        <f>IF(OR($D$4:F$4)=FALSE,"",IF(F$4=FALSE,E14,IF(OR($D$4:E$4)=FALSE,F10,10*LOG(1/(1/10^(F10/10)+1/(10^(E14/10)*10^(F8/10)))))))</f>
        <v>-1.42950423777479E-5</v>
      </c>
      <c r="G14" s="10">
        <f>IF(OR($D$4:G$4)=FALSE,"",IF(G$4=FALSE,F14,IF(OR($D$4:F$4)=FALSE,G10,10*LOG(1/(1/10^(G10/10)+1/(10^(F14/10)*10^(G8/10)))))))</f>
        <v>54.54458514433388</v>
      </c>
      <c r="H14" s="10">
        <f>IF(OR($D$4:H$4)=FALSE,"",IF(H$4=FALSE,G14,IF(OR($D$4:G$4)=FALSE,H10,10*LOG(1/(1/10^(H10/10)+1/(10^(G14/10)*10^(H8/10)))))))</f>
        <v>54.54458514433388</v>
      </c>
      <c r="I14" s="10">
        <f>IF(OR($D$4:I$4)=FALSE,"",IF(I$4=FALSE,H14,IF(OR($D$4:H$4)=FALSE,I10,10*LOG(1/(1/10^(I10/10)+1/(10^(H14/10)*10^(I8/10)))))))</f>
        <v>54.54458514433388</v>
      </c>
      <c r="J14" s="10">
        <f>IF(OR($D$4:J$4)=FALSE,"",IF(J$4=FALSE,I14,IF(OR($D$4:I$4)=FALSE,J10,10*LOG(1/(1/10^(J10/10)+1/(10^(I14/10)*10^(J8/10)))))))</f>
        <v>54.54458514433388</v>
      </c>
      <c r="K14" s="10">
        <f>IF(OR($D$4:K$4)=FALSE,"",IF(K$4=FALSE,J14,IF(OR($D$4:J$4)=FALSE,K10,10*LOG(1/(1/10^(K10/10)+1/(10^(J14/10)*10^(K8/10)))))))</f>
        <v>54.54458514433388</v>
      </c>
      <c r="L14" s="10">
        <f>IF(OR($D$4:L$4)=FALSE,"",IF(L$4=FALSE,K14,IF(OR($D$4:K$4)=FALSE,L10,10*LOG(1/(1/10^(L10/10)+1/(10^(K14/10)*10^(L8/10)))))))</f>
        <v>54.54458514433388</v>
      </c>
      <c r="M14" s="10">
        <f>IF(OR($D$4:M$4)=FALSE,"",IF(M$4=FALSE,L14,IF(OR($D$4:L$4)=FALSE,M10,10*LOG(1/(1/10^(M10/10)+1/(10^(L14/10)*10^(M8/10)))))))</f>
        <v>54.54458514433388</v>
      </c>
      <c r="N14" s="10">
        <f>IF(OR($D$4:N$4)=FALSE,"",IF(N$4=FALSE,M14,IF(OR($D$4:M$4)=FALSE,N10,10*LOG(1/(1/10^(N10/10)+1/(10^(M14/10)*10^(N8/10)))))))</f>
        <v>54.54458514433388</v>
      </c>
      <c r="O14" s="10">
        <f>IF(OR($D$4:O$4)=FALSE,"",IF(O$4=FALSE,N14,IF(OR($D$4:N$4)=FALSE,O10,10*LOG(1/(1/10^(O10/10)+1/(10^(N14/10)*10^(O8/10)))))))</f>
        <v>54.54458514433388</v>
      </c>
      <c r="P14" s="10">
        <f>IF(OR($D$4:P$4)=FALSE,"",IF(P$4=FALSE,O14,IF(OR($D$4:O$4)=FALSE,P10,10*LOG(1/(1/10^(P10/10)+1/(10^(O14/10)*10^(P8/10)))))))</f>
        <v>54.54458514433388</v>
      </c>
      <c r="Q14" s="10">
        <f>IF(OR($D$4:Q$4)=FALSE,"",IF(Q$4=FALSE,P14,IF(OR($D$4:P$4)=FALSE,Q10,10*LOG(1/(1/10^(Q10/10)+1/(10^(P14/10)*10^(Q8/10)))))))</f>
        <v>54.54458514433388</v>
      </c>
      <c r="R14" s="10">
        <f>IF(OR($D$4:R$4)=FALSE,"",IF(R$4=FALSE,Q14,IF(OR($D$4:Q$4)=FALSE,R10,10*LOG(1/(1/10^(R10/10)+1/(10^(Q14/10)*10^(R8/10)))))))</f>
        <v>54.54458514433388</v>
      </c>
      <c r="S14" s="6"/>
      <c r="T14" s="6"/>
      <c r="U14" s="6"/>
      <c r="V14" s="6"/>
    </row>
    <row r="15" spans="1:25" ht="17.25" thickBot="1" x14ac:dyDescent="0.2">
      <c r="A15" s="6"/>
      <c r="B15" s="35" t="s">
        <v>36</v>
      </c>
      <c r="C15" s="36" t="s">
        <v>3</v>
      </c>
      <c r="D15" s="22">
        <f>IF(AND(D4&lt;&gt;FALSE,D11&lt;&gt;""),D11,"")</f>
        <v>60</v>
      </c>
      <c r="E15" s="16">
        <f>IF(OR($D$4:E$4)=FALSE,"",IF(E$4=FALSE,D15,IF(OR($D$4:D$4)=FALSE,E11,10*LOG(1/(1/10^(E11/10)+1/(10^(D15/10)*10^(E8/10)))))))</f>
        <v>55.625981493800289</v>
      </c>
      <c r="F15" s="16">
        <f>IF(OR($D$4:F$4)=FALSE,"",IF(F$4=FALSE,E15,IF(OR($D$4:E$4)=FALSE,F11,10*LOG(1/(1/10^(F11/10)+1/(10^(E15/10)*10^(F8/10)))))))</f>
        <v>-1.42950423777479E-5</v>
      </c>
      <c r="G15" s="16">
        <f>IF(OR($D$4:G$4)=FALSE,"",IF(G$4=FALSE,F15,IF(OR($D$4:F$4)=FALSE,G11,10*LOG(1/(1/10^(G11/10)+1/(10^(F15/10)*10^(G8/10)))))))</f>
        <v>54.54458514433388</v>
      </c>
      <c r="H15" s="16">
        <f>IF(OR($D$4:H$4)=FALSE,"",IF(H$4=FALSE,G15,IF(OR($D$4:G$4)=FALSE,H11,10*LOG(1/(1/10^(H11/10)+1/(10^(G15/10)*10^(H8/10)))))))</f>
        <v>54.54458514433388</v>
      </c>
      <c r="I15" s="16">
        <f>IF(OR($D$4:I$4)=FALSE,"",IF(I$4=FALSE,H15,IF(OR($D$4:H$4)=FALSE,I11,10*LOG(1/(1/10^(I11/10)+1/(10^(H15/10)*10^(I8/10)))))))</f>
        <v>54.54458514433388</v>
      </c>
      <c r="J15" s="16">
        <f>IF(OR($D$4:J$4)=FALSE,"",IF(J$4=FALSE,I15,IF(OR($D$4:I$4)=FALSE,J11,10*LOG(1/(1/10^(J11/10)+1/(10^(I15/10)*10^(J8/10)))))))</f>
        <v>54.54458514433388</v>
      </c>
      <c r="K15" s="16">
        <f>IF(OR($D$4:K$4)=FALSE,"",IF(K$4=FALSE,J15,IF(OR($D$4:J$4)=FALSE,K11,10*LOG(1/(1/10^(K11/10)+1/(10^(J15/10)*10^(K8/10)))))))</f>
        <v>54.54458514433388</v>
      </c>
      <c r="L15" s="16">
        <f>IF(OR($D$4:L$4)=FALSE,"",IF(L$4=FALSE,K15,IF(OR($D$4:K$4)=FALSE,L11,10*LOG(1/(1/10^(L11/10)+1/(10^(K15/10)*10^(L8/10)))))))</f>
        <v>54.54458514433388</v>
      </c>
      <c r="M15" s="16">
        <f>IF(OR($D$4:M$4)=FALSE,"",IF(M$4=FALSE,L15,IF(OR($D$4:L$4)=FALSE,M11,10*LOG(1/(1/10^(M11/10)+1/(10^(L15/10)*10^(M8/10)))))))</f>
        <v>54.54458514433388</v>
      </c>
      <c r="N15" s="16">
        <f>IF(OR($D$4:N$4)=FALSE,"",IF(N$4=FALSE,M15,IF(OR($D$4:M$4)=FALSE,N11,10*LOG(1/(1/10^(N11/10)+1/(10^(M15/10)*10^(N8/10)))))))</f>
        <v>54.54458514433388</v>
      </c>
      <c r="O15" s="16">
        <f>IF(OR($D$4:O$4)=FALSE,"",IF(O$4=FALSE,N15,IF(OR($D$4:N$4)=FALSE,O11,10*LOG(1/(1/10^(O11/10)+1/(10^(N15/10)*10^(O8/10)))))))</f>
        <v>54.54458514433388</v>
      </c>
      <c r="P15" s="16">
        <f>IF(OR($D$4:P$4)=FALSE,"",IF(P$4=FALSE,O15,IF(OR($D$4:O$4)=FALSE,P11,10*LOG(1/(1/10^(P11/10)+1/(10^(O15/10)*10^(P8/10)))))))</f>
        <v>54.54458514433388</v>
      </c>
      <c r="Q15" s="16">
        <f>IF(OR($D$4:Q$4)=FALSE,"",IF(Q$4=FALSE,P15,IF(OR($D$4:P$4)=FALSE,Q11,10*LOG(1/(1/10^(Q11/10)+1/(10^(P15/10)*10^(Q8/10)))))))</f>
        <v>54.54458514433388</v>
      </c>
      <c r="R15" s="16">
        <f>IF(OR($D$4:R$4)=FALSE,"",IF(R$4=FALSE,Q15,IF(OR($D$4:Q$4)=FALSE,R11,10*LOG(1/(1/10^(R11/10)+1/(10^(Q15/10)*10^(R8/10)))))))</f>
        <v>54.54458514433388</v>
      </c>
      <c r="S15" s="6"/>
      <c r="T15" s="6"/>
      <c r="U15" s="6"/>
      <c r="V15" s="6"/>
    </row>
    <row r="16" spans="1:25" ht="17.25" thickTop="1" x14ac:dyDescent="0.15">
      <c r="A16" s="6"/>
      <c r="B16" s="37" t="s">
        <v>37</v>
      </c>
      <c r="C16" s="38" t="s">
        <v>3</v>
      </c>
      <c r="D16" s="14">
        <f>IF(AND(D4&lt;&gt;FALSE,G23&lt;&gt;""),G23,"")</f>
        <v>-50</v>
      </c>
      <c r="E16" s="11">
        <f>IF(OR($D$4:E$4)=FALSE,"",IF(E$4=FALSE,D16,IF(OR($D$4:D$4)=FALSE,$G$23,D17)))</f>
        <v>-51.3</v>
      </c>
      <c r="F16" s="11">
        <f>IF(OR($D$4:F$4)=FALSE,"",IF(F$4=FALSE,E16,IF(OR($D$4:E$4)=FALSE,$G$23,E17)))</f>
        <v>-53.699999999999996</v>
      </c>
      <c r="G16" s="11">
        <f>IF(OR($D$4:G$4)=FALSE,"",IF(G$4=FALSE,F16,IF(OR($D$4:F$4)=FALSE,$G$23,F17)))</f>
        <v>-54.499999999999993</v>
      </c>
      <c r="H16" s="11">
        <f>IF(OR($D$4:H$4)=FALSE,"",IF(H$4=FALSE,G16,IF(OR($D$4:G$4)=FALSE,$G$23,G17)))</f>
        <v>-54.499999999999993</v>
      </c>
      <c r="I16" s="11">
        <f>IF(OR($D$4:I$4)=FALSE,"",IF(I$4=FALSE,H16,IF(OR($D$4:H$4)=FALSE,$G$23,H17)))</f>
        <v>-54.499999999999993</v>
      </c>
      <c r="J16" s="11">
        <f>IF(OR($D$4:J$4)=FALSE,"",IF(J$4=FALSE,I16,IF(OR($D$4:I$4)=FALSE,$G$23,I17)))</f>
        <v>-54.499999999999993</v>
      </c>
      <c r="K16" s="11">
        <f>IF(OR($D$4:K$4)=FALSE,"",IF(K$4=FALSE,J16,IF(OR($D$4:J$4)=FALSE,$G$23,J17)))</f>
        <v>-54.499999999999993</v>
      </c>
      <c r="L16" s="11">
        <f>IF(OR($D$4:L$4)=FALSE,"",IF(L$4=FALSE,K16,IF(OR($D$4:K$4)=FALSE,$G$23,K17)))</f>
        <v>-54.499999999999993</v>
      </c>
      <c r="M16" s="11">
        <f>IF(OR($D$4:M$4)=FALSE,"",IF(M$4=FALSE,L16,IF(OR($D$4:L$4)=FALSE,$G$23,L17)))</f>
        <v>-54.499999999999993</v>
      </c>
      <c r="N16" s="11">
        <f>IF(OR($D$4:N$4)=FALSE,"",IF(N$4=FALSE,M16,IF(OR($D$4:M$4)=FALSE,$G$23,M17)))</f>
        <v>-54.499999999999993</v>
      </c>
      <c r="O16" s="11">
        <f>IF(OR($D$4:O$4)=FALSE,"",IF(O$4=FALSE,N16,IF(OR($D$4:N$4)=FALSE,$G$23,N17)))</f>
        <v>-54.499999999999993</v>
      </c>
      <c r="P16" s="11">
        <f>IF(OR($D$4:P$4)=FALSE,"",IF(P$4=FALSE,O16,IF(OR($D$4:O$4)=FALSE,$G$23,O17)))</f>
        <v>-54.499999999999993</v>
      </c>
      <c r="Q16" s="11">
        <f>IF(OR($D$4:Q$4)=FALSE,"",IF(Q$4=FALSE,P16,IF(OR($D$4:P$4)=FALSE,$G$23,P17)))</f>
        <v>-54.499999999999993</v>
      </c>
      <c r="R16" s="11">
        <f>IF(OR($D$4:R$4)=FALSE,"",IF(R$4=FALSE,Q16,IF(OR($D$4:Q$4)=FALSE,$G$23,Q17)))</f>
        <v>-54.499999999999993</v>
      </c>
      <c r="S16" s="6"/>
      <c r="T16" s="6"/>
      <c r="U16" s="6"/>
      <c r="V16" s="6"/>
    </row>
    <row r="17" spans="1:22" x14ac:dyDescent="0.15">
      <c r="A17" s="6"/>
      <c r="B17" s="25" t="s">
        <v>8</v>
      </c>
      <c r="C17" s="26" t="s">
        <v>3</v>
      </c>
      <c r="D17" s="12">
        <f>IF(AND(D4&lt;&gt;FALSE,D8&lt;&gt;"",D16&lt;&gt;""),D16+D8,"")</f>
        <v>-51.3</v>
      </c>
      <c r="E17" s="10">
        <f>IF(AND(E4&lt;&gt;FALSE,E16&lt;&gt;"",E16&lt;&gt;""),E8+E16,D17)</f>
        <v>-53.699999999999996</v>
      </c>
      <c r="F17" s="10">
        <f t="shared" ref="F17:M17" si="0">IF(AND(F4&lt;&gt;FALSE,F16&lt;&gt;"",F16&lt;&gt;""),F8+F16,E17)</f>
        <v>-54.499999999999993</v>
      </c>
      <c r="G17" s="10">
        <f t="shared" si="0"/>
        <v>1.5000000000000071</v>
      </c>
      <c r="H17" s="10">
        <f t="shared" si="0"/>
        <v>1.5000000000000071</v>
      </c>
      <c r="I17" s="10">
        <f t="shared" si="0"/>
        <v>1.5000000000000071</v>
      </c>
      <c r="J17" s="10">
        <f t="shared" si="0"/>
        <v>1.5000000000000071</v>
      </c>
      <c r="K17" s="10">
        <f t="shared" si="0"/>
        <v>1.5000000000000071</v>
      </c>
      <c r="L17" s="10">
        <f t="shared" si="0"/>
        <v>1.5000000000000071</v>
      </c>
      <c r="M17" s="10">
        <f t="shared" si="0"/>
        <v>1.5000000000000071</v>
      </c>
      <c r="N17" s="10">
        <f>IF(AND(N4&lt;&gt;FALSE,N16&lt;&gt;"",N16&lt;&gt;""),N8+N16,M17)</f>
        <v>1.5000000000000071</v>
      </c>
      <c r="O17" s="10">
        <f>IF(AND(O4&lt;&gt;FALSE,O16&lt;&gt;"",O16&lt;&gt;""),O8+O16,N17)</f>
        <v>1.5000000000000071</v>
      </c>
      <c r="P17" s="10">
        <f>IF(AND(P4&lt;&gt;FALSE,P16&lt;&gt;"",P16&lt;&gt;""),P8+P16,O17)</f>
        <v>1.5000000000000071</v>
      </c>
      <c r="Q17" s="10">
        <f>IF(AND(Q4&lt;&gt;FALSE,Q16&lt;&gt;"",Q16&lt;&gt;""),Q8+Q16,P17)</f>
        <v>1.5000000000000071</v>
      </c>
      <c r="R17" s="10">
        <f>IF(AND(R4&lt;&gt;FALSE,R16&lt;&gt;"",R16&lt;&gt;""),R8+R16,Q17)</f>
        <v>1.5000000000000071</v>
      </c>
      <c r="S17" s="6"/>
      <c r="T17" s="6"/>
      <c r="U17" s="6"/>
      <c r="V17" s="6"/>
    </row>
    <row r="18" spans="1:22" x14ac:dyDescent="0.15">
      <c r="A18" s="6"/>
      <c r="B18" s="27" t="s">
        <v>9</v>
      </c>
      <c r="C18" s="28" t="s">
        <v>1</v>
      </c>
      <c r="D18" s="12">
        <f>IF(AND(D4&lt;&gt;FALSE,D10&lt;&gt;"",D17&lt;&gt;""),D10-D17,"")</f>
        <v>111.3</v>
      </c>
      <c r="E18" s="10">
        <f>IF(AND(E4&lt;&gt;FALSE,E10&lt;&gt;"",E17&lt;&gt;""),E10-E17,D18)</f>
        <v>113.69999999999999</v>
      </c>
      <c r="F18" s="10">
        <f t="shared" ref="F18:M18" si="1">IF(AND(F4&lt;&gt;FALSE,F10&lt;&gt;"",F17&lt;&gt;""),F10-F17,E18)</f>
        <v>54.499999999999993</v>
      </c>
      <c r="G18" s="10">
        <f t="shared" si="1"/>
        <v>58.499999999999993</v>
      </c>
      <c r="H18" s="10">
        <f t="shared" si="1"/>
        <v>58.499999999999993</v>
      </c>
      <c r="I18" s="10">
        <f t="shared" si="1"/>
        <v>58.499999999999993</v>
      </c>
      <c r="J18" s="10">
        <f t="shared" si="1"/>
        <v>58.499999999999993</v>
      </c>
      <c r="K18" s="10">
        <f t="shared" si="1"/>
        <v>58.499999999999993</v>
      </c>
      <c r="L18" s="10">
        <f t="shared" si="1"/>
        <v>58.499999999999993</v>
      </c>
      <c r="M18" s="10" t="e">
        <f t="shared" si="1"/>
        <v>#N/A</v>
      </c>
      <c r="N18" s="10" t="e">
        <f>IF(AND(N4&lt;&gt;FALSE,N10&lt;&gt;"",N17&lt;&gt;""),N10-N17,M18)</f>
        <v>#N/A</v>
      </c>
      <c r="O18" s="10" t="e">
        <f>IF(AND(O4&lt;&gt;FALSE,O10&lt;&gt;"",O17&lt;&gt;""),O10-O17,N18)</f>
        <v>#N/A</v>
      </c>
      <c r="P18" s="10" t="e">
        <f>IF(AND(P4&lt;&gt;FALSE,P10&lt;&gt;"",P17&lt;&gt;""),P10-P17,O18)</f>
        <v>#N/A</v>
      </c>
      <c r="Q18" s="10" t="e">
        <f>IF(AND(Q4&lt;&gt;FALSE,Q10&lt;&gt;"",Q17&lt;&gt;""),Q10-Q17,P18)</f>
        <v>#N/A</v>
      </c>
      <c r="R18" s="10" t="e">
        <f>IF(AND(R4&lt;&gt;FALSE,R10&lt;&gt;"",R17&lt;&gt;""),R10-R17,Q18)</f>
        <v>#N/A</v>
      </c>
      <c r="S18" s="6"/>
      <c r="T18" s="6"/>
      <c r="U18" s="6"/>
      <c r="V18" s="6"/>
    </row>
    <row r="19" spans="1:22" x14ac:dyDescent="0.15">
      <c r="A19" s="6"/>
      <c r="B19" s="25" t="s">
        <v>10</v>
      </c>
      <c r="C19" s="26" t="s">
        <v>42</v>
      </c>
      <c r="D19" s="12">
        <f>IF(AND(D4&lt;&gt;FALSE,D15&lt;&gt;"",D17&lt;&gt;""),2*(D15-D17),"")</f>
        <v>222.6</v>
      </c>
      <c r="E19" s="10">
        <f>IF(AND(E4&lt;&gt;FALSE,E15&lt;&gt;"",E17&lt;&gt;""),2*(E15-E17),D19)</f>
        <v>218.65196298760057</v>
      </c>
      <c r="F19" s="10">
        <f>IF(AND(F4&lt;&gt;FALSE,F15&lt;&gt;"",F17&lt;&gt;""),2*(F15-F17),E19)</f>
        <v>108.99997140991523</v>
      </c>
      <c r="G19" s="10">
        <f>IF(AND(G4&lt;&gt;FALSE,G15&lt;&gt;"",G17&lt;&gt;""),2*(G15-G17),F19)</f>
        <v>106.08917028866775</v>
      </c>
      <c r="H19" s="10">
        <f>IF(AND(H4&lt;&gt;FALSE,H15&lt;&gt;"",H17&lt;&gt;""),2*(H15-H17),G19)</f>
        <v>106.08917028866775</v>
      </c>
      <c r="I19" s="10">
        <f t="shared" ref="I19:R19" si="2">IF(AND(I4&lt;&gt;FALSE,I15&lt;&gt;"",I17&lt;&gt;""),2*(I15-I17),H19)</f>
        <v>106.08917028866775</v>
      </c>
      <c r="J19" s="10">
        <f t="shared" si="2"/>
        <v>106.08917028866775</v>
      </c>
      <c r="K19" s="10">
        <f t="shared" si="2"/>
        <v>106.08917028866775</v>
      </c>
      <c r="L19" s="10">
        <f t="shared" si="2"/>
        <v>106.08917028866775</v>
      </c>
      <c r="M19" s="10">
        <f t="shared" si="2"/>
        <v>106.08917028866775</v>
      </c>
      <c r="N19" s="10">
        <f t="shared" si="2"/>
        <v>106.08917028866775</v>
      </c>
      <c r="O19" s="10">
        <f t="shared" si="2"/>
        <v>106.08917028866775</v>
      </c>
      <c r="P19" s="10">
        <f t="shared" si="2"/>
        <v>106.08917028866775</v>
      </c>
      <c r="Q19" s="10">
        <f t="shared" si="2"/>
        <v>106.08917028866775</v>
      </c>
      <c r="R19" s="10">
        <f t="shared" si="2"/>
        <v>106.08917028866775</v>
      </c>
      <c r="S19" s="6"/>
      <c r="T19" s="6"/>
      <c r="U19" s="6"/>
      <c r="V19" s="6"/>
    </row>
    <row r="20" spans="1:22" x14ac:dyDescent="0.15">
      <c r="A20" s="6"/>
      <c r="B20" s="39" t="s">
        <v>13</v>
      </c>
      <c r="C20" s="40" t="s">
        <v>1</v>
      </c>
      <c r="D20" s="12">
        <f>IF(AND(D4&lt;&gt;FALSE,D15&lt;&gt;"",D17&lt;&gt;"",$G$28&lt;&gt;""),-20.75+1.6*$G$28+2*(D17-D15),"")</f>
        <v>-227.35</v>
      </c>
      <c r="E20" s="10">
        <f>IF(AND(E4&lt;&gt;FALSE,E15&lt;&gt;"",E17&lt;&gt;"",$G$28&lt;&gt;""),-20.75+1.6*$G$28+2*(E17-E15),D20)</f>
        <v>-223.40196298760057</v>
      </c>
      <c r="F20" s="10">
        <f t="shared" ref="F20:M20" si="3">IF(AND(F4&lt;&gt;FALSE,F15&lt;&gt;"",F17&lt;&gt;"",$G$28&lt;&gt;""),-20.75+1.6*$G$28+2*(F17-F15),E20)</f>
        <v>-113.74997140991523</v>
      </c>
      <c r="G20" s="10">
        <f t="shared" si="3"/>
        <v>-110.83917028866775</v>
      </c>
      <c r="H20" s="10">
        <f t="shared" si="3"/>
        <v>-110.83917028866775</v>
      </c>
      <c r="I20" s="10">
        <f t="shared" si="3"/>
        <v>-110.83917028866775</v>
      </c>
      <c r="J20" s="10">
        <f t="shared" si="3"/>
        <v>-110.83917028866775</v>
      </c>
      <c r="K20" s="10">
        <f t="shared" si="3"/>
        <v>-110.83917028866775</v>
      </c>
      <c r="L20" s="10">
        <f t="shared" si="3"/>
        <v>-110.83917028866775</v>
      </c>
      <c r="M20" s="10">
        <f t="shared" si="3"/>
        <v>-110.83917028866775</v>
      </c>
      <c r="N20" s="10">
        <f>IF(AND(N4&lt;&gt;FALSE,N15&lt;&gt;"",N17&lt;&gt;"",$G$28&lt;&gt;""),-20.75+1.6*$G$28+2*(N17-N15),M20)</f>
        <v>-110.83917028866775</v>
      </c>
      <c r="O20" s="10">
        <f>IF(AND(O4&lt;&gt;FALSE,O15&lt;&gt;"",O17&lt;&gt;"",$G$28&lt;&gt;""),-20.75+1.6*$G$28+2*(O17-O15),N20)</f>
        <v>-110.83917028866775</v>
      </c>
      <c r="P20" s="10">
        <f>IF(AND(P4&lt;&gt;FALSE,P15&lt;&gt;"",P17&lt;&gt;"",$G$28&lt;&gt;""),-20.75+1.6*$G$28+2*(P17-P15),O20)</f>
        <v>-110.83917028866775</v>
      </c>
      <c r="Q20" s="10">
        <f>IF(AND(Q4&lt;&gt;FALSE,Q15&lt;&gt;"",Q17&lt;&gt;"",$G$28&lt;&gt;""),-20.75+1.6*$G$28+2*(Q17-Q15),P20)</f>
        <v>-110.83917028866775</v>
      </c>
      <c r="R20" s="10">
        <f>IF(AND(R4&lt;&gt;FALSE,R15&lt;&gt;"",R17&lt;&gt;"",$G$28&lt;&gt;""),-20.75+1.6*$G$28+2*(R17-R15),Q20)</f>
        <v>-110.83917028866775</v>
      </c>
      <c r="S20" s="6"/>
      <c r="T20" s="6"/>
      <c r="U20" s="6"/>
      <c r="V20" s="6"/>
    </row>
    <row r="21" spans="1:22" x14ac:dyDescent="0.1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</row>
    <row r="22" spans="1:22" x14ac:dyDescent="0.15">
      <c r="A22" s="6"/>
      <c r="B22" s="44"/>
      <c r="C22" s="44"/>
      <c r="D22" s="74" t="s">
        <v>11</v>
      </c>
      <c r="E22" s="74"/>
      <c r="F22" s="74"/>
      <c r="G22" s="74"/>
      <c r="H22" s="46"/>
      <c r="I22" s="68" t="s">
        <v>48</v>
      </c>
      <c r="J22" s="69"/>
      <c r="K22" s="69"/>
      <c r="L22" s="69"/>
      <c r="M22" s="70"/>
      <c r="N22" s="6"/>
      <c r="O22" s="65" t="s">
        <v>19</v>
      </c>
      <c r="P22" s="66"/>
      <c r="Q22" s="66"/>
      <c r="R22" s="67"/>
      <c r="S22" s="6"/>
      <c r="T22" s="6"/>
      <c r="U22" s="6"/>
      <c r="V22" s="6"/>
    </row>
    <row r="23" spans="1:22" x14ac:dyDescent="0.15">
      <c r="A23" s="6"/>
      <c r="B23" s="44"/>
      <c r="C23" s="44"/>
      <c r="D23" s="74" t="s">
        <v>37</v>
      </c>
      <c r="E23" s="74"/>
      <c r="F23" s="19" t="s">
        <v>3</v>
      </c>
      <c r="G23" s="20">
        <v>-50</v>
      </c>
      <c r="H23" s="6"/>
      <c r="I23" s="74" t="s">
        <v>16</v>
      </c>
      <c r="J23" s="74"/>
      <c r="K23" s="74"/>
      <c r="L23" s="19" t="s">
        <v>3</v>
      </c>
      <c r="M23" s="12">
        <f>IF(AND(G25&lt;&gt;"",G27&lt;&gt;"",G26&lt;&gt;""),10*LOG(1.3806505*10^(-20)*G25*10^6*G27)+LOOKUP(9E+307,13:13)+G26,"")</f>
        <v>-98.114574719691234</v>
      </c>
      <c r="N23" s="6"/>
      <c r="O23" s="71" t="s">
        <v>21</v>
      </c>
      <c r="P23" s="72"/>
      <c r="Q23" s="72"/>
      <c r="R23" s="73"/>
      <c r="S23" s="6"/>
      <c r="T23" s="6"/>
      <c r="U23" s="6"/>
      <c r="V23" s="6"/>
    </row>
    <row r="24" spans="1:22" x14ac:dyDescent="0.15">
      <c r="A24" s="6"/>
      <c r="B24" s="44"/>
      <c r="C24" s="44"/>
      <c r="D24" s="74" t="s">
        <v>14</v>
      </c>
      <c r="E24" s="74"/>
      <c r="F24" s="19" t="s">
        <v>1</v>
      </c>
      <c r="G24" s="20">
        <v>10</v>
      </c>
      <c r="H24" s="6"/>
      <c r="I24" s="74" t="s">
        <v>17</v>
      </c>
      <c r="J24" s="74"/>
      <c r="K24" s="74"/>
      <c r="L24" s="19" t="s">
        <v>49</v>
      </c>
      <c r="M24" s="12">
        <f>IF(AND(G27&lt;&gt;""),10*LOG(1.3806505*10^(-20)*G27)+LOOKUP(9E+307,13:13),"")</f>
        <v>-166.65699981408449</v>
      </c>
      <c r="N24" s="6"/>
      <c r="O24" s="71" t="s">
        <v>51</v>
      </c>
      <c r="P24" s="72"/>
      <c r="Q24" s="72"/>
      <c r="R24" s="73"/>
      <c r="S24" s="6"/>
      <c r="T24" s="6"/>
      <c r="U24" s="6"/>
      <c r="V24" s="6"/>
    </row>
    <row r="25" spans="1:22" x14ac:dyDescent="0.15">
      <c r="A25" s="6"/>
      <c r="B25" s="44"/>
      <c r="C25" s="44"/>
      <c r="D25" s="74" t="s">
        <v>43</v>
      </c>
      <c r="E25" s="74"/>
      <c r="F25" s="19" t="s">
        <v>25</v>
      </c>
      <c r="G25" s="20">
        <v>9</v>
      </c>
      <c r="H25" s="6"/>
      <c r="I25" s="74" t="s">
        <v>22</v>
      </c>
      <c r="J25" s="74"/>
      <c r="K25" s="74"/>
      <c r="L25" s="19" t="s">
        <v>20</v>
      </c>
      <c r="M25" s="12">
        <f>IF(AND(M24&lt;&gt;""),M24+LOOKUP(9E+307,12:12),"")</f>
        <v>-115.15699981408449</v>
      </c>
      <c r="N25" s="6"/>
      <c r="O25" s="71" t="s">
        <v>33</v>
      </c>
      <c r="P25" s="72"/>
      <c r="Q25" s="72"/>
      <c r="R25" s="73"/>
      <c r="S25" s="6"/>
      <c r="T25" s="6"/>
      <c r="U25" s="6"/>
      <c r="V25" s="6"/>
    </row>
    <row r="26" spans="1:22" x14ac:dyDescent="0.15">
      <c r="A26" s="6"/>
      <c r="B26" s="44"/>
      <c r="C26" s="44"/>
      <c r="D26" s="74" t="s">
        <v>44</v>
      </c>
      <c r="E26" s="74"/>
      <c r="F26" s="19" t="s">
        <v>1</v>
      </c>
      <c r="G26" s="20">
        <v>-1</v>
      </c>
      <c r="H26" s="6"/>
      <c r="I26" s="74" t="s">
        <v>15</v>
      </c>
      <c r="J26" s="74"/>
      <c r="K26" s="74"/>
      <c r="L26" s="19" t="s">
        <v>20</v>
      </c>
      <c r="M26" s="12">
        <f>IF(AND(G25&lt;&gt;"",G27&lt;&gt;""),10*LOG(1.3806505*10^(-20)*G25*10^6*G27)+LOOKUP(9E+307,13:13),"")</f>
        <v>-97.114574719691234</v>
      </c>
      <c r="N26" s="6"/>
      <c r="O26" s="71" t="s">
        <v>34</v>
      </c>
      <c r="P26" s="72"/>
      <c r="Q26" s="72"/>
      <c r="R26" s="73"/>
      <c r="S26" s="6"/>
      <c r="T26" s="6"/>
      <c r="U26" s="6"/>
      <c r="V26" s="6"/>
    </row>
    <row r="27" spans="1:22" x14ac:dyDescent="0.15">
      <c r="A27" s="6"/>
      <c r="B27" s="44"/>
      <c r="C27" s="44"/>
      <c r="D27" s="74" t="s">
        <v>45</v>
      </c>
      <c r="E27" s="74"/>
      <c r="F27" s="19" t="s">
        <v>46</v>
      </c>
      <c r="G27" s="20">
        <v>298</v>
      </c>
      <c r="H27" s="6"/>
      <c r="I27" s="74" t="s">
        <v>18</v>
      </c>
      <c r="J27" s="74"/>
      <c r="K27" s="74"/>
      <c r="L27" s="19" t="s">
        <v>20</v>
      </c>
      <c r="M27" s="12">
        <f>IF(AND(M26&lt;&gt;""),M26+LOOKUP(9E+307,12:12),"")</f>
        <v>-45.614574719691234</v>
      </c>
      <c r="N27" s="6"/>
      <c r="O27" s="71" t="s">
        <v>23</v>
      </c>
      <c r="P27" s="72"/>
      <c r="Q27" s="72"/>
      <c r="R27" s="73"/>
      <c r="S27" s="6"/>
      <c r="T27" s="6"/>
      <c r="U27" s="6"/>
      <c r="V27" s="6"/>
    </row>
    <row r="28" spans="1:22" x14ac:dyDescent="0.15">
      <c r="A28" s="6"/>
      <c r="B28" s="44"/>
      <c r="C28" s="44"/>
      <c r="D28" s="74" t="s">
        <v>12</v>
      </c>
      <c r="E28" s="74"/>
      <c r="F28" s="19" t="s">
        <v>1</v>
      </c>
      <c r="G28" s="20">
        <v>10</v>
      </c>
      <c r="H28" s="6"/>
      <c r="I28" s="74" t="s">
        <v>50</v>
      </c>
      <c r="J28" s="74"/>
      <c r="K28" s="74"/>
      <c r="L28" s="19" t="s">
        <v>1</v>
      </c>
      <c r="M28" s="12">
        <f>G23-M26</f>
        <v>47.114574719691234</v>
      </c>
      <c r="N28" s="6"/>
      <c r="O28" s="71" t="s">
        <v>35</v>
      </c>
      <c r="P28" s="72"/>
      <c r="Q28" s="72"/>
      <c r="R28" s="73"/>
      <c r="S28" s="6"/>
      <c r="T28" s="6"/>
      <c r="U28" s="6"/>
      <c r="V28" s="6"/>
    </row>
    <row r="29" spans="1:22" x14ac:dyDescent="0.15">
      <c r="A29" s="6"/>
      <c r="B29" s="44"/>
      <c r="C29" s="44"/>
      <c r="D29" s="74" t="s">
        <v>28</v>
      </c>
      <c r="E29" s="74"/>
      <c r="F29" s="19"/>
      <c r="G29" s="20" t="s">
        <v>116</v>
      </c>
      <c r="H29" s="47"/>
      <c r="I29" s="74" t="s">
        <v>27</v>
      </c>
      <c r="J29" s="74"/>
      <c r="K29" s="74"/>
      <c r="L29" s="19"/>
      <c r="M29" s="18" t="str">
        <f>IF(G29="是",IF(LOOKUP(9E+307,17:17)&gt;G31,"起控","未起控"),"无效")</f>
        <v>无效</v>
      </c>
      <c r="N29" s="6"/>
      <c r="O29" s="6"/>
      <c r="P29" s="6"/>
      <c r="Q29" s="6"/>
      <c r="R29" s="6"/>
      <c r="S29" s="6"/>
      <c r="T29" s="6"/>
      <c r="U29" s="6"/>
      <c r="V29" s="6"/>
    </row>
    <row r="30" spans="1:22" x14ac:dyDescent="0.15">
      <c r="A30" s="6"/>
      <c r="B30" s="6"/>
      <c r="C30" s="6"/>
      <c r="D30" s="74" t="s">
        <v>60</v>
      </c>
      <c r="E30" s="74"/>
      <c r="F30" s="19"/>
      <c r="G30" s="20">
        <v>6</v>
      </c>
      <c r="H30" s="6"/>
      <c r="I30" s="74" t="s">
        <v>32</v>
      </c>
      <c r="J30" s="74"/>
      <c r="K30" s="74"/>
      <c r="L30" s="19" t="s">
        <v>1</v>
      </c>
      <c r="M30" s="12">
        <f>LOOKUP(9E+307,17:17)-G31</f>
        <v>-15.499999999999993</v>
      </c>
      <c r="N30" s="6"/>
      <c r="O30" s="6"/>
      <c r="P30" s="6"/>
      <c r="Q30" s="6"/>
      <c r="R30" s="6"/>
      <c r="S30" s="6"/>
      <c r="T30" s="6"/>
      <c r="U30" s="6"/>
      <c r="V30" s="6"/>
    </row>
    <row r="31" spans="1:22" x14ac:dyDescent="0.15">
      <c r="A31" s="6"/>
      <c r="B31" s="6"/>
      <c r="C31" s="6"/>
      <c r="D31" s="74" t="s">
        <v>47</v>
      </c>
      <c r="E31" s="74"/>
      <c r="F31" s="19" t="s">
        <v>3</v>
      </c>
      <c r="G31" s="20">
        <v>17</v>
      </c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</row>
    <row r="32" spans="1:22" x14ac:dyDescent="0.15">
      <c r="A32" s="6"/>
      <c r="B32" s="6"/>
      <c r="C32" s="6"/>
      <c r="D32" s="6" t="s">
        <v>68</v>
      </c>
      <c r="E32" s="6"/>
      <c r="F32" s="6"/>
      <c r="G32" s="6">
        <v>65</v>
      </c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</row>
    <row r="33" spans="1:22" x14ac:dyDescent="0.15">
      <c r="A33" s="6"/>
      <c r="B33" s="6"/>
      <c r="C33" s="6"/>
      <c r="D33" s="44"/>
      <c r="E33" s="44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</row>
    <row r="34" spans="1:22" x14ac:dyDescent="0.15">
      <c r="A34" s="6"/>
      <c r="B34" s="6"/>
      <c r="C34" s="6"/>
      <c r="D34" s="44"/>
      <c r="E34" s="44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</row>
    <row r="35" spans="1:22" x14ac:dyDescent="0.15">
      <c r="A35" s="6"/>
      <c r="B35" s="6"/>
      <c r="C35" s="6"/>
      <c r="D35" s="44"/>
      <c r="E35" s="44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</row>
    <row r="36" spans="1:22" x14ac:dyDescent="0.15">
      <c r="C36" s="6"/>
      <c r="D36" s="44"/>
      <c r="E36" s="44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</row>
    <row r="37" spans="1:22" x14ac:dyDescent="0.15">
      <c r="D37" s="44"/>
      <c r="E37" s="44"/>
      <c r="F37" s="6"/>
      <c r="G37" s="6"/>
    </row>
    <row r="38" spans="1:22" x14ac:dyDescent="0.15">
      <c r="D38" s="44"/>
      <c r="E38" s="44"/>
    </row>
    <row r="39" spans="1:22" x14ac:dyDescent="0.15">
      <c r="D39" s="44"/>
      <c r="E39" s="44"/>
    </row>
  </sheetData>
  <mergeCells count="27">
    <mergeCell ref="B1:C3"/>
    <mergeCell ref="D22:G22"/>
    <mergeCell ref="I22:M22"/>
    <mergeCell ref="O22:R22"/>
    <mergeCell ref="D23:E23"/>
    <mergeCell ref="I23:K23"/>
    <mergeCell ref="O23:R23"/>
    <mergeCell ref="D24:E24"/>
    <mergeCell ref="I24:K24"/>
    <mergeCell ref="O24:R24"/>
    <mergeCell ref="D25:E25"/>
    <mergeCell ref="I25:K25"/>
    <mergeCell ref="O25:R25"/>
    <mergeCell ref="D26:E26"/>
    <mergeCell ref="I26:K26"/>
    <mergeCell ref="O26:R26"/>
    <mergeCell ref="D27:E27"/>
    <mergeCell ref="I27:K27"/>
    <mergeCell ref="O27:R27"/>
    <mergeCell ref="D31:E31"/>
    <mergeCell ref="D28:E28"/>
    <mergeCell ref="I28:K28"/>
    <mergeCell ref="O28:R28"/>
    <mergeCell ref="D29:E29"/>
    <mergeCell ref="I29:K29"/>
    <mergeCell ref="D30:E30"/>
    <mergeCell ref="I30:K30"/>
  </mergeCells>
  <phoneticPr fontId="16" type="noConversion"/>
  <conditionalFormatting sqref="D18:R18">
    <cfRule type="cellIs" dxfId="113" priority="11" operator="lessThan">
      <formula>$G24</formula>
    </cfRule>
  </conditionalFormatting>
  <conditionalFormatting sqref="D5:R11">
    <cfRule type="expression" dxfId="112" priority="10">
      <formula>D$4=FALSE</formula>
    </cfRule>
  </conditionalFormatting>
  <conditionalFormatting sqref="M29">
    <cfRule type="cellIs" dxfId="111" priority="8" operator="equal">
      <formula>"未起控"</formula>
    </cfRule>
    <cfRule type="cellIs" dxfId="110" priority="9" operator="equal">
      <formula>"起控"</formula>
    </cfRule>
  </conditionalFormatting>
  <conditionalFormatting sqref="D12:R20">
    <cfRule type="expression" dxfId="109" priority="3">
      <formula>D$4=FALSE</formula>
    </cfRule>
  </conditionalFormatting>
  <conditionalFormatting sqref="D4:I4 K4:R4">
    <cfRule type="cellIs" dxfId="108" priority="6" operator="equal">
      <formula>FALSE</formula>
    </cfRule>
    <cfRule type="cellIs" dxfId="107" priority="7" operator="equal">
      <formula>TRUE</formula>
    </cfRule>
  </conditionalFormatting>
  <conditionalFormatting sqref="J4">
    <cfRule type="cellIs" dxfId="106" priority="4" operator="equal">
      <formula>FALSE</formula>
    </cfRule>
    <cfRule type="cellIs" dxfId="105" priority="5" operator="equal">
      <formula>TRUE</formula>
    </cfRule>
  </conditionalFormatting>
  <conditionalFormatting sqref="N13">
    <cfRule type="expression" dxfId="104" priority="1" stopIfTrue="1">
      <formula>$H$24&lt;0</formula>
    </cfRule>
    <cfRule type="expression" dxfId="103" priority="2">
      <formula>$H$24&gt;0</formula>
    </cfRule>
  </conditionalFormatting>
  <dataValidations count="23">
    <dataValidation type="list" allowBlank="1" showInputMessage="1" showErrorMessage="1" sqref="G6">
      <formula1>"WTR3925,WTR2965,"</formula1>
    </dataValidation>
    <dataValidation type="list" allowBlank="1" showInputMessage="1" showErrorMessage="1" sqref="E6">
      <formula1>"SAYEY1G95GA0F0A(B1),SAYEY1G74BC0B0A(B3),SFX836CYA02(B5),SAYEY2G53BC0F0A(B7),SAYEY2G53BA0F0A(B7),SAYEY897MBG0F0A(B8),SAYEY897MBA0B0A(B8),SAYEY806MBA0F0A(B20),SAYEY806MBC0F0A(B20),SFX718BYJ02(B28A),SFX733BYJ02(B28B),"</formula1>
    </dataValidation>
    <dataValidation type="list" allowBlank="1" showInputMessage="1" showErrorMessage="1" sqref="D6">
      <formula1>"QM57508,RF5212A,"</formula1>
    </dataValidation>
    <dataValidation type="list" allowBlank="1" showInputMessage="1" showErrorMessage="1" sqref="I5:J5 D5:G5">
      <formula1>"衰减器,放大器,混频器,LC滤波器,声表滤波器,隔离器,多工器,双工器,Cable,Diplexer,Duplexer,balun,Trace loss,Tranceiver,Filter,Switcher,Tx module,Multiplexer,LNA,PA,"</formula1>
    </dataValidation>
    <dataValidation type="list" allowBlank="1" showInputMessage="1" showErrorMessage="1" sqref="H6">
      <formula1>"RTC8612H,AS186-302,QFE1045,QFE1040,QFE1035,"</formula1>
    </dataValidation>
    <dataValidation type="list" allowBlank="1" showInputMessage="1" showErrorMessage="1" sqref="H5">
      <formula1>"衰减器,放大器,LNA,混频器,LC滤波器,声表滤波器,隔离器,多工器,双工器,开关,Cable,Diplexer,Duplexer,balun,Trace loss,Tranceiver,Filter,Switcher,Tx module,Multiplexer,"</formula1>
    </dataValidation>
    <dataValidation type="list" allowBlank="1" showInputMessage="1" showErrorMessage="1" sqref="J6:K6">
      <formula1>"WTR3925,"</formula1>
    </dataValidation>
    <dataValidation type="list" allowBlank="1" showInputMessage="1" showErrorMessage="1" sqref="K5">
      <formula1>"衰减器,放大器,LNA,,混频器,LC滤波器,声表滤波器,隔离器,多工器,双工器,开关,Cable,Diplexer,Duplexer,Trace loss,Tranceiver,"</formula1>
    </dataValidation>
    <dataValidation type="list" allowBlank="1" showInputMessage="1" showErrorMessage="1" sqref="I6">
      <formula1>"est.,"</formula1>
    </dataValidation>
    <dataValidation type="list" allowBlank="1" showInputMessage="1" showErrorMessage="1" sqref="F6">
      <formula1>"SPF5043Z,ATF54143,MXD8015H,"</formula1>
    </dataValidation>
    <dataValidation type="list" allowBlank="1" showInputMessage="1" showErrorMessage="1" sqref="M6:N6">
      <formula1>"mga43528,mga43628,PW210,PW290,SGA6389,BG18C,PNH15,AH1,AH102,SKY65162-70LF,SXB-4089,ECG003,"</formula1>
    </dataValidation>
    <dataValidation type="list" allowBlank="1" showInputMessage="1" showErrorMessage="1" sqref="L6">
      <formula1>"8dB,6dB,5dB,2dB,pe4302,0Ω,hsmp3866_0,hsmp3866_10,hsmp3866_20,"</formula1>
    </dataValidation>
    <dataValidation type="list" allowBlank="1" showInputMessage="1" showErrorMessage="1" sqref="O6">
      <formula1>"AS186-302,"</formula1>
    </dataValidation>
    <dataValidation type="list" allowBlank="1" showInputMessage="1" showErrorMessage="1" sqref="L5:P5">
      <formula1>"衰减器,放大器,LNA,混频器,LC滤波器,声表滤波器,隔离器,多工器,双工器,开关,"</formula1>
    </dataValidation>
    <dataValidation type="whole" allowBlank="1" showInputMessage="1" showErrorMessage="1" sqref="G23">
      <formula1>-90</formula1>
      <formula2>10</formula2>
    </dataValidation>
    <dataValidation type="list" allowBlank="1" showInputMessage="1" showErrorMessage="1" sqref="G29">
      <formula1>"是,否"</formula1>
    </dataValidation>
    <dataValidation type="list" allowBlank="1" showInputMessage="1" showErrorMessage="1" sqref="F29">
      <formula1>#REF!</formula1>
    </dataValidation>
    <dataValidation type="list" allowBlank="1" showInputMessage="1" showErrorMessage="1" sqref="P6">
      <formula1>"射频声表,"</formula1>
    </dataValidation>
    <dataValidation type="list" allowBlank="1" showInputMessage="1" showErrorMessage="1" sqref="Q6:R6">
      <formula1>"8dB,5dB,2dB,pe4302,0Ω,hsmp-3814,"</formula1>
    </dataValidation>
    <dataValidation type="list" allowBlank="1" showInputMessage="1" showErrorMessage="1" sqref="Q5">
      <formula1>"衰减器,放大器,LNA,混频器,LC滤波器,声表滤波器,隔离器,双工器,,"</formula1>
    </dataValidation>
    <dataValidation type="list" allowBlank="1" showInputMessage="1" showErrorMessage="1" sqref="E7:R7">
      <formula1>频率</formula1>
    </dataValidation>
    <dataValidation type="list" allowBlank="1" showInputMessage="1" showErrorMessage="1" sqref="R5">
      <formula1>种类</formula1>
    </dataValidation>
    <dataValidation type="list" allowBlank="1" showInputMessage="1" showErrorMessage="1" sqref="D7">
      <formula1>"ANT L,ANT M,ANT H,"</formula1>
    </dataValidation>
  </dataValidations>
  <pageMargins left="0.7" right="0.7" top="0.75" bottom="0.75" header="0.3" footer="0.3"/>
  <pageSetup paperSize="9" scale="49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84025" r:id="rId4" name="交换">
          <controlPr autoLine="0" r:id="rId5">
            <anchor moveWithCells="1">
              <from>
                <xdr:col>0</xdr:col>
                <xdr:colOff>66675</xdr:colOff>
                <xdr:row>2</xdr:row>
                <xdr:rowOff>200025</xdr:rowOff>
              </from>
              <to>
                <xdr:col>1</xdr:col>
                <xdr:colOff>0</xdr:colOff>
                <xdr:row>4</xdr:row>
                <xdr:rowOff>57150</xdr:rowOff>
              </to>
            </anchor>
          </controlPr>
        </control>
      </mc:Choice>
      <mc:Fallback>
        <control shapeId="84025" r:id="rId4" name="交换"/>
      </mc:Fallback>
    </mc:AlternateContent>
    <mc:AlternateContent xmlns:mc="http://schemas.openxmlformats.org/markup-compatibility/2006">
      <mc:Choice Requires="x14">
        <control shapeId="84026" r:id="rId6" name="stage2">
          <controlPr autoLine="0" r:id="rId7">
            <anchor moveWithCells="1">
              <from>
                <xdr:col>0</xdr:col>
                <xdr:colOff>66675</xdr:colOff>
                <xdr:row>5</xdr:row>
                <xdr:rowOff>104775</xdr:rowOff>
              </from>
              <to>
                <xdr:col>1</xdr:col>
                <xdr:colOff>0</xdr:colOff>
                <xdr:row>6</xdr:row>
                <xdr:rowOff>76200</xdr:rowOff>
              </to>
            </anchor>
          </controlPr>
        </control>
      </mc:Choice>
      <mc:Fallback>
        <control shapeId="84026" r:id="rId6" name="stage2"/>
      </mc:Fallback>
    </mc:AlternateContent>
    <mc:AlternateContent xmlns:mc="http://schemas.openxmlformats.org/markup-compatibility/2006">
      <mc:Choice Requires="x14">
        <control shapeId="84027" r:id="rId8" name="stage_num_set">
          <controlPr autoLine="0" r:id="rId9">
            <anchor moveWithCells="1">
              <from>
                <xdr:col>0</xdr:col>
                <xdr:colOff>66675</xdr:colOff>
                <xdr:row>8</xdr:row>
                <xdr:rowOff>38100</xdr:rowOff>
              </from>
              <to>
                <xdr:col>1</xdr:col>
                <xdr:colOff>0</xdr:colOff>
                <xdr:row>9</xdr:row>
                <xdr:rowOff>114300</xdr:rowOff>
              </to>
            </anchor>
          </controlPr>
        </control>
      </mc:Choice>
      <mc:Fallback>
        <control shapeId="84027" r:id="rId8" name="stage_num_set"/>
      </mc:Fallback>
    </mc:AlternateContent>
    <mc:AlternateContent xmlns:mc="http://schemas.openxmlformats.org/markup-compatibility/2006">
      <mc:Choice Requires="x14">
        <control shapeId="84028" r:id="rId10" name="stage_num">
          <controlPr autoLine="0" r:id="rId11">
            <anchor moveWithCells="1">
              <from>
                <xdr:col>0</xdr:col>
                <xdr:colOff>66675</xdr:colOff>
                <xdr:row>9</xdr:row>
                <xdr:rowOff>114300</xdr:rowOff>
              </from>
              <to>
                <xdr:col>1</xdr:col>
                <xdr:colOff>0</xdr:colOff>
                <xdr:row>10</xdr:row>
                <xdr:rowOff>152400</xdr:rowOff>
              </to>
            </anchor>
          </controlPr>
        </control>
      </mc:Choice>
      <mc:Fallback>
        <control shapeId="84028" r:id="rId10" name="stage_num"/>
      </mc:Fallback>
    </mc:AlternateContent>
    <mc:AlternateContent xmlns:mc="http://schemas.openxmlformats.org/markup-compatibility/2006">
      <mc:Choice Requires="x14">
        <control shapeId="84029" r:id="rId12" name="stage1">
          <controlPr autoLine="0" r:id="rId13">
            <anchor moveWithCells="1">
              <from>
                <xdr:col>0</xdr:col>
                <xdr:colOff>66675</xdr:colOff>
                <xdr:row>4</xdr:row>
                <xdr:rowOff>57150</xdr:rowOff>
              </from>
              <to>
                <xdr:col>1</xdr:col>
                <xdr:colOff>0</xdr:colOff>
                <xdr:row>5</xdr:row>
                <xdr:rowOff>104775</xdr:rowOff>
              </to>
            </anchor>
          </controlPr>
        </control>
      </mc:Choice>
      <mc:Fallback>
        <control shapeId="84029" r:id="rId12" name="stage1"/>
      </mc:Fallback>
    </mc:AlternateContent>
    <mc:AlternateContent xmlns:mc="http://schemas.openxmlformats.org/markup-compatibility/2006">
      <mc:Choice Requires="x14">
        <control shapeId="83969" r:id="rId14" name="Check Box 1">
          <controlPr defaultSize="0" autoFill="0" autoLine="0" autoPict="0" macro="[0]!复选框10_Click" altText="启用">
            <anchor moveWithCells="1">
              <from>
                <xdr:col>4</xdr:col>
                <xdr:colOff>152400</xdr:colOff>
                <xdr:row>2</xdr:row>
                <xdr:rowOff>200025</xdr:rowOff>
              </from>
              <to>
                <xdr:col>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70" r:id="rId15" name="Check Box 2">
          <controlPr defaultSize="0" autoFill="0" autoLine="0" autoPict="0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71" r:id="rId16" name="Check Box 3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72" r:id="rId17" name="Check Box 4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73" r:id="rId18" name="Check Box 5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74" r:id="rId19" name="Check Box 6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75" r:id="rId20" name="Check Box 7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76" r:id="rId21" name="Check Box 8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77" r:id="rId22" name="Check Box 9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78" r:id="rId23" name="Check Box 10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79" r:id="rId24" name="Check Box 11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80" r:id="rId25" name="Check Box 12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81" r:id="rId26" name="Check Box 13">
          <controlPr defaultSize="0" autoFill="0" autoLine="0" autoPict="0" altText="启用">
            <anchor moveWithCells="1">
              <from>
                <xdr:col>4</xdr:col>
                <xdr:colOff>152400</xdr:colOff>
                <xdr:row>2</xdr:row>
                <xdr:rowOff>200025</xdr:rowOff>
              </from>
              <to>
                <xdr:col>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82" r:id="rId27" name="Check Box 14">
          <controlPr defaultSize="0" autoFill="0" autoLine="0" autoPict="0" macro="[0]!复选框10_Click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83" r:id="rId28" name="Check Box 15">
          <controlPr defaultSize="0" autoFill="0" autoLine="0" autoPict="0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84" r:id="rId29" name="Check Box 16">
          <controlPr defaultSize="0" autoFill="0" autoLine="0" autoPict="0" macro="[0]!复选框10_Click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85" r:id="rId30" name="Check Box 17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86" r:id="rId31" name="Check Box 18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87" r:id="rId32" name="Check Box 19">
          <controlPr defaultSize="0" autoFill="0" autoLine="0" autoPict="0" macro="[0]!复选框10_Click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88" r:id="rId33" name="Check Box 20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89" r:id="rId34" name="Check Box 21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90" r:id="rId35" name="Check Box 22">
          <controlPr defaultSize="0" autoFill="0" autoLine="0" autoPict="0" macro="[0]!复选框10_Click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91" r:id="rId36" name="Check Box 23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92" r:id="rId37" name="Check Box 24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93" r:id="rId38" name="Check Box 25">
          <controlPr defaultSize="0" autoFill="0" autoLine="0" autoPict="0" macro="[0]!复选框10_Click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94" r:id="rId39" name="Check Box 26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95" r:id="rId40" name="Check Box 27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96" r:id="rId41" name="Check Box 28">
          <controlPr defaultSize="0" autoFill="0" autoLine="0" autoPict="0" macro="[0]!复选框10_Click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97" r:id="rId42" name="Check Box 29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98" r:id="rId43" name="Check Box 30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99" r:id="rId44" name="Check Box 31">
          <controlPr defaultSize="0" autoFill="0" autoLine="0" autoPict="0" macro="[0]!复选框10_Click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000" r:id="rId45" name="Check Box 32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001" r:id="rId46" name="Check Box 33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002" r:id="rId47" name="Check Box 34">
          <controlPr defaultSize="0" autoFill="0" autoLine="0" autoPict="0" macro="[0]!复选框10_Click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003" r:id="rId48" name="Check Box 35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004" r:id="rId49" name="Check Box 36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005" r:id="rId50" name="Check Box 37">
          <controlPr defaultSize="0" autoFill="0" autoLine="0" autoPict="0" macro="[0]!复选框10_Click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006" r:id="rId51" name="Check Box 38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007" r:id="rId52" name="Check Box 39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008" r:id="rId53" name="Check Box 40">
          <controlPr defaultSize="0" autoFill="0" autoLine="0" autoPict="0" macro="[0]!复选框10_Click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009" r:id="rId54" name="Check Box 41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010" r:id="rId55" name="Check Box 42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011" r:id="rId56" name="Check Box 43">
          <controlPr defaultSize="0" autoFill="0" autoLine="0" autoPict="0" macro="[0]!复选框10_Click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012" r:id="rId57" name="Check Box 44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013" r:id="rId58" name="Check Box 45">
          <controlPr defaultSize="0" autoFill="0" autoLine="0" autoPict="0" altText="启用">
            <anchor moveWithCells="1">
              <from>
                <xdr:col>3</xdr:col>
                <xdr:colOff>152400</xdr:colOff>
                <xdr:row>2</xdr:row>
                <xdr:rowOff>200025</xdr:rowOff>
              </from>
              <to>
                <xdr:col>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014" r:id="rId59" name="Check Box 46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015" r:id="rId60" name="Check Box 47">
          <controlPr defaultSize="0" autoFill="0" autoLine="0" autoPict="0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016" r:id="rId61" name="Check Box 48">
          <controlPr defaultSize="0" autoFill="0" autoLine="0" autoPict="0" macro="[0]!复选框10_Click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017" r:id="rId62" name="Check Box 49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018" r:id="rId63" name="Check Box 50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019" r:id="rId64" name="Check Box 51">
          <controlPr defaultSize="0" autoFill="0" autoLine="0" autoPict="0" macro="[0]!复选框10_Click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020" r:id="rId65" name="Check Box 52">
          <controlPr defaultSize="0" autoFill="0" autoLine="0" autoPict="0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021" r:id="rId66" name="Check Box 53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022" r:id="rId67" name="Check Box 54">
          <controlPr defaultSize="0" autoFill="0" autoLine="0" autoPict="0" macro="[0]!复选框10_Click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023" r:id="rId68" name="Check Box 55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024" r:id="rId69" name="Check Box 56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Y41"/>
  <sheetViews>
    <sheetView showGridLines="0" zoomScale="106" zoomScaleNormal="106" workbookViewId="0">
      <pane xSplit="3" topLeftCell="D1" activePane="topRight" state="frozen"/>
      <selection pane="topRight" activeCell="F8" sqref="F8"/>
    </sheetView>
  </sheetViews>
  <sheetFormatPr defaultRowHeight="16.5" x14ac:dyDescent="0.15"/>
  <cols>
    <col min="1" max="1" width="9" style="2"/>
    <col min="2" max="2" width="16.75" style="1" customWidth="1"/>
    <col min="3" max="3" width="6" style="2" bestFit="1" customWidth="1"/>
    <col min="4" max="18" width="12.625" style="2" customWidth="1"/>
    <col min="19" max="16384" width="9" style="2"/>
  </cols>
  <sheetData>
    <row r="1" spans="1:25" ht="45.75" customHeight="1" x14ac:dyDescent="0.15">
      <c r="A1" s="6"/>
      <c r="B1" s="63" t="s">
        <v>61</v>
      </c>
      <c r="C1" s="63"/>
      <c r="D1" s="6"/>
      <c r="E1"/>
      <c r="F1"/>
      <c r="G1"/>
      <c r="H1"/>
      <c r="I1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</row>
    <row r="2" spans="1:25" ht="16.5" customHeight="1" x14ac:dyDescent="0.15">
      <c r="A2"/>
      <c r="B2" s="63"/>
      <c r="C2" s="63"/>
      <c r="D2" s="8">
        <f>数据源!J5</f>
        <v>0</v>
      </c>
      <c r="E2" s="6"/>
      <c r="F2" s="6"/>
      <c r="G2" s="6"/>
      <c r="H2"/>
      <c r="I2"/>
      <c r="J2"/>
      <c r="K2"/>
      <c r="L2" s="6"/>
      <c r="M2" s="6"/>
      <c r="N2" s="6"/>
      <c r="O2" s="6"/>
      <c r="P2" s="6"/>
      <c r="Q2" s="6"/>
      <c r="R2" s="6"/>
      <c r="S2" s="6"/>
      <c r="T2" s="6"/>
      <c r="U2" s="6"/>
      <c r="V2" s="6"/>
    </row>
    <row r="3" spans="1:25" ht="16.5" customHeight="1" x14ac:dyDescent="0.15">
      <c r="A3"/>
      <c r="B3" s="64"/>
      <c r="C3" s="64"/>
      <c r="D3" s="25">
        <v>1</v>
      </c>
      <c r="E3" s="25">
        <v>2</v>
      </c>
      <c r="F3" s="25">
        <v>3</v>
      </c>
      <c r="G3" s="25">
        <v>4</v>
      </c>
      <c r="H3" s="25">
        <v>5</v>
      </c>
      <c r="I3" s="25">
        <v>6</v>
      </c>
      <c r="J3" s="25">
        <v>7</v>
      </c>
      <c r="K3" s="25">
        <v>8</v>
      </c>
      <c r="L3" s="25">
        <v>9</v>
      </c>
      <c r="M3" s="25">
        <v>10</v>
      </c>
      <c r="N3" s="25">
        <v>11</v>
      </c>
      <c r="O3" s="25">
        <v>12</v>
      </c>
      <c r="P3" s="25">
        <v>13</v>
      </c>
      <c r="Q3" s="25">
        <v>14</v>
      </c>
      <c r="R3" s="25">
        <v>15</v>
      </c>
      <c r="S3" s="6"/>
      <c r="T3" s="6"/>
      <c r="U3" s="6"/>
      <c r="V3"/>
      <c r="W3"/>
      <c r="X3"/>
      <c r="Y3"/>
    </row>
    <row r="4" spans="1:25" x14ac:dyDescent="0.15">
      <c r="A4"/>
      <c r="B4" s="25"/>
      <c r="C4" s="28" t="s">
        <v>38</v>
      </c>
      <c r="D4" s="23" t="b">
        <v>1</v>
      </c>
      <c r="E4" s="24" t="b">
        <v>1</v>
      </c>
      <c r="F4" s="24" t="b">
        <v>1</v>
      </c>
      <c r="G4" s="24" t="b">
        <v>0</v>
      </c>
      <c r="H4" s="24" t="b">
        <v>1</v>
      </c>
      <c r="I4" s="24" t="b">
        <v>0</v>
      </c>
      <c r="J4" s="24" t="b">
        <v>0</v>
      </c>
      <c r="K4" s="24" t="b">
        <v>0</v>
      </c>
      <c r="L4" s="24" t="b">
        <v>0</v>
      </c>
      <c r="M4" s="24" t="b">
        <v>0</v>
      </c>
      <c r="N4" s="24" t="b">
        <v>0</v>
      </c>
      <c r="O4" s="24" t="b">
        <v>0</v>
      </c>
      <c r="P4" s="24" t="b">
        <v>0</v>
      </c>
      <c r="Q4" s="24" t="b">
        <v>0</v>
      </c>
      <c r="R4" s="24" t="b">
        <v>0</v>
      </c>
      <c r="S4"/>
      <c r="T4"/>
      <c r="U4"/>
      <c r="V4"/>
      <c r="W4"/>
      <c r="X4"/>
      <c r="Y4"/>
    </row>
    <row r="5" spans="1:25" s="4" customFormat="1" x14ac:dyDescent="0.15">
      <c r="A5"/>
      <c r="B5" s="25" t="s">
        <v>24</v>
      </c>
      <c r="C5" s="26"/>
      <c r="D5" s="21" t="s">
        <v>83</v>
      </c>
      <c r="E5" s="21" t="s">
        <v>79</v>
      </c>
      <c r="F5" s="21" t="s">
        <v>76</v>
      </c>
      <c r="G5" s="21" t="s">
        <v>52</v>
      </c>
      <c r="H5" s="21" t="s">
        <v>77</v>
      </c>
      <c r="I5" s="21" t="s">
        <v>77</v>
      </c>
      <c r="J5" s="21" t="s">
        <v>52</v>
      </c>
      <c r="K5" s="21" t="s">
        <v>77</v>
      </c>
      <c r="L5" s="21" t="s">
        <v>29</v>
      </c>
      <c r="M5" s="21" t="s">
        <v>30</v>
      </c>
      <c r="N5" s="21" t="s">
        <v>30</v>
      </c>
      <c r="O5" s="21" t="s">
        <v>63</v>
      </c>
      <c r="P5" s="21" t="s">
        <v>31</v>
      </c>
      <c r="Q5" s="21" t="s">
        <v>29</v>
      </c>
      <c r="R5" s="21" t="s">
        <v>29</v>
      </c>
      <c r="S5"/>
      <c r="T5"/>
      <c r="U5"/>
      <c r="V5"/>
      <c r="W5"/>
      <c r="X5"/>
      <c r="Y5"/>
    </row>
    <row r="6" spans="1:25" s="4" customFormat="1" x14ac:dyDescent="0.15">
      <c r="A6"/>
      <c r="B6" s="27" t="s">
        <v>0</v>
      </c>
      <c r="C6" s="26"/>
      <c r="D6" s="43" t="s">
        <v>93</v>
      </c>
      <c r="E6" s="43" t="s">
        <v>86</v>
      </c>
      <c r="F6" s="43" t="s">
        <v>75</v>
      </c>
      <c r="G6" s="43" t="s">
        <v>70</v>
      </c>
      <c r="H6" s="43" t="s">
        <v>119</v>
      </c>
      <c r="I6" s="43" t="s">
        <v>78</v>
      </c>
      <c r="J6" s="43" t="s">
        <v>70</v>
      </c>
      <c r="K6" s="43" t="s">
        <v>78</v>
      </c>
      <c r="L6" s="43" t="s">
        <v>65</v>
      </c>
      <c r="M6" s="43" t="s">
        <v>69</v>
      </c>
      <c r="N6" s="43" t="s">
        <v>66</v>
      </c>
      <c r="O6" s="43" t="s">
        <v>67</v>
      </c>
      <c r="P6" s="43" t="s">
        <v>53</v>
      </c>
      <c r="Q6" s="43" t="s">
        <v>59</v>
      </c>
      <c r="R6" s="43" t="s">
        <v>56</v>
      </c>
      <c r="S6"/>
      <c r="T6"/>
      <c r="U6"/>
      <c r="V6"/>
      <c r="W6"/>
      <c r="X6"/>
      <c r="Y6"/>
    </row>
    <row r="7" spans="1:25" s="4" customFormat="1" ht="17.25" thickBot="1" x14ac:dyDescent="0.2">
      <c r="A7" s="41"/>
      <c r="B7" s="27" t="s">
        <v>57</v>
      </c>
      <c r="C7" s="28" t="s">
        <v>25</v>
      </c>
      <c r="D7" s="43" t="s">
        <v>148</v>
      </c>
      <c r="E7" s="42" t="s">
        <v>88</v>
      </c>
      <c r="F7" s="42" t="s">
        <v>118</v>
      </c>
      <c r="G7" s="42" t="s">
        <v>71</v>
      </c>
      <c r="H7" s="42" t="s">
        <v>92</v>
      </c>
      <c r="I7" s="42" t="s">
        <v>92</v>
      </c>
      <c r="J7" s="42" t="s">
        <v>71</v>
      </c>
      <c r="K7" s="42" t="s">
        <v>92</v>
      </c>
      <c r="L7" s="42" t="s">
        <v>54</v>
      </c>
      <c r="M7" s="42" t="s">
        <v>64</v>
      </c>
      <c r="N7" s="42" t="s">
        <v>64</v>
      </c>
      <c r="O7" s="42" t="s">
        <v>62</v>
      </c>
      <c r="P7" s="42" t="s">
        <v>62</v>
      </c>
      <c r="Q7" s="42" t="s">
        <v>54</v>
      </c>
      <c r="R7" s="42" t="s">
        <v>54</v>
      </c>
      <c r="S7" s="41"/>
      <c r="T7" s="41"/>
      <c r="U7" s="41"/>
      <c r="V7" s="41"/>
      <c r="W7" s="41"/>
      <c r="X7" s="41"/>
      <c r="Y7" s="41"/>
    </row>
    <row r="8" spans="1:25" ht="17.25" thickTop="1" x14ac:dyDescent="0.15">
      <c r="A8"/>
      <c r="B8" s="25" t="s">
        <v>58</v>
      </c>
      <c r="C8" s="26" t="s">
        <v>1</v>
      </c>
      <c r="D8" s="15">
        <f>LOOKUP(1,0/((数据源!$A$2:$A$160=D5)*(数据源!$B$2:$B$160=D6)*(数据源!$C$2:$C$160=D7)),数据源!$D$2:$D$160)</f>
        <v>-0.55000000000000004</v>
      </c>
      <c r="E8" s="15">
        <f>LOOKUP(1,0/((数据源!$A$2:$A$160=E5)*(数据源!$B$2:$B$160=E6)*(数据源!$C$2:$C$160=E7)),数据源!$D$2:$D$160)</f>
        <v>-1.7</v>
      </c>
      <c r="F8" s="15">
        <f>LOOKUP(1,0/((数据源!$A$2:$A$160=F5)*(数据源!$B$2:$B$160=F6)*(数据源!$C$2:$C$160=F7)),数据源!$D$2:$D$160)</f>
        <v>-0.8</v>
      </c>
      <c r="G8" s="15">
        <f>LOOKUP(1,0/((数据源!$A$2:$A$160=G5)*(数据源!$B$2:$B$160=G6)*(数据源!$C$2:$C$160=G7)),数据源!$D$2:$D$160)</f>
        <v>15</v>
      </c>
      <c r="H8" s="15">
        <f>LOOKUP(1,0/((数据源!$A$2:$A$160=H5)*(数据源!$B$2:$B$160=H6)*(数据源!$C$2:$C$160=H7)),数据源!$D$2:$D$160)</f>
        <v>56</v>
      </c>
      <c r="I8" s="15">
        <f>LOOKUP(1,0/((数据源!$A$2:$A$160=I5)*(数据源!$B$2:$B$160=I6)*(数据源!$C$2:$C$160=I7)),数据源!$D$2:$D$160)</f>
        <v>56</v>
      </c>
      <c r="J8" s="15">
        <f>LOOKUP(1,0/((数据源!$A$2:$A$160=J5)*(数据源!$B$2:$B$160=J6)*(数据源!$C$2:$C$160=J7)),数据源!$D$2:$D$160)</f>
        <v>15</v>
      </c>
      <c r="K8" s="15">
        <f>LOOKUP(1,0/((数据源!$A$2:$A$160=K5)*(数据源!$B$2:$B$160=K6)*(数据源!$C$2:$C$160=K7)),数据源!$D$2:$D$160)</f>
        <v>56</v>
      </c>
      <c r="L8" s="15">
        <f>LOOKUP(1,0/((数据源!$A$2:$A$160=L5)*(数据源!$B$2:$B$160=L6)*(数据源!$C$2:$C$160=L7)),数据源!$D$2:$D$160)</f>
        <v>-2</v>
      </c>
      <c r="M8" s="15" t="e">
        <f>LOOKUP(1,0/((数据源!$A$2:$A$160=M5)*(数据源!$B$2:$B$160=M6)*(数据源!$C$2:$C$160=M7)),数据源!$D$2:$D$160)</f>
        <v>#N/A</v>
      </c>
      <c r="N8" s="15" t="e">
        <f>LOOKUP(1,0/((数据源!$A$2:$A$160=N5)*(数据源!$B$2:$B$160=N6)*(数据源!$C$2:$C$160=N7)),数据源!$D$2:$D$160)</f>
        <v>#N/A</v>
      </c>
      <c r="O8" s="15" t="e">
        <f>LOOKUP(1,0/((数据源!$A$2:$A$160=O5)*(数据源!$B$2:$B$160=O6)*(数据源!$C$2:$C$160=O7)),数据源!$D$2:$D$160)</f>
        <v>#N/A</v>
      </c>
      <c r="P8" s="15" t="e">
        <f>LOOKUP(1,0/((数据源!$A$2:$A$160=P5)*(数据源!$B$2:$B$160=P6)*(数据源!$C$2:$C$160=P7)),数据源!$D$2:$D$160)</f>
        <v>#N/A</v>
      </c>
      <c r="Q8" s="15">
        <f>LOOKUP(1,0/((数据源!$A$2:$A$160=Q5)*(数据源!$B$2:$B$160=Q6)*(数据源!$C$2:$C$160=Q7)),数据源!$D$2:$D$160)</f>
        <v>-5</v>
      </c>
      <c r="R8" s="15">
        <f>LOOKUP(1,0/((数据源!$A$2:$A$160=R5)*(数据源!$B$2:$B$160=R6)*(数据源!$C$2:$C$160=R7)),数据源!$D$2:$D$160)</f>
        <v>-8</v>
      </c>
      <c r="S8"/>
      <c r="T8"/>
      <c r="U8"/>
      <c r="V8"/>
      <c r="W8"/>
      <c r="X8"/>
      <c r="Y8"/>
    </row>
    <row r="9" spans="1:25" x14ac:dyDescent="0.15">
      <c r="A9"/>
      <c r="B9" s="25" t="s">
        <v>2</v>
      </c>
      <c r="C9" s="26" t="s">
        <v>1</v>
      </c>
      <c r="D9" s="12">
        <f>LOOKUP(1,0/((数据源!$A$2:$A$160=D5)*(数据源!$B$2:$B$160=D6)*(数据源!$C$2:$C$160=D7)),数据源!$E$2:$E$160)</f>
        <v>0.55000000000000004</v>
      </c>
      <c r="E9" s="12">
        <f>LOOKUP(1,0/((数据源!$A$2:$A$160=E5)*(数据源!$B$2:$B$160=E6)*(数据源!$C$2:$C$160=E7)),数据源!$E$2:$E$160)</f>
        <v>1.7</v>
      </c>
      <c r="F9" s="12">
        <f>LOOKUP(1,0/((数据源!$A$2:$A$160=F5)*(数据源!$B$2:$B$160=F6)*(数据源!$C$2:$C$160=F7)),数据源!$E$2:$E$160)</f>
        <v>0.8</v>
      </c>
      <c r="G9" s="12">
        <f>LOOKUP(1,0/((数据源!$A$2:$A$160=G5)*(数据源!$B$2:$B$160=G6)*(数据源!$C$2:$C$160=G7)),数据源!$E$2:$E$160)</f>
        <v>0.7</v>
      </c>
      <c r="H9" s="12">
        <f>LOOKUP(1,0/((数据源!$A$2:$A$160=H5)*(数据源!$B$2:$B$160=H6)*(数据源!$C$2:$C$160=H7)),数据源!$E$2:$E$160)</f>
        <v>2.7</v>
      </c>
      <c r="I9" s="12">
        <f>LOOKUP(1,0/((数据源!$A$2:$A$160=I5)*(数据源!$B$2:$B$160=I6)*(数据源!$C$2:$C$160=I7)),数据源!$E$2:$E$160)</f>
        <v>2.7</v>
      </c>
      <c r="J9" s="12">
        <f>LOOKUP(1,0/((数据源!$A$2:$A$160=J5)*(数据源!$B$2:$B$160=J6)*(数据源!$C$2:$C$160=J7)),数据源!$E$2:$E$160)</f>
        <v>0.7</v>
      </c>
      <c r="K9" s="12">
        <f>LOOKUP(1,0/((数据源!$A$2:$A$160=K5)*(数据源!$B$2:$B$160=K6)*(数据源!$C$2:$C$160=K7)),数据源!$E$2:$E$160)</f>
        <v>2.7</v>
      </c>
      <c r="L9" s="12">
        <f>LOOKUP(1,0/((数据源!$A$2:$A$160=L5)*(数据源!$B$2:$B$160=L6)*(数据源!$C$2:$C$160=L7)),数据源!$E$2:$E$160)</f>
        <v>2</v>
      </c>
      <c r="M9" s="12" t="e">
        <f>LOOKUP(1,0/((数据源!$A$2:$A$160=M5)*(数据源!$B$2:$B$160=M6)*(数据源!$C$2:$C$160=M7)),数据源!$E$2:$E$160)</f>
        <v>#N/A</v>
      </c>
      <c r="N9" s="12" t="e">
        <f>LOOKUP(1,0/((数据源!$A$2:$A$160=N5)*(数据源!$B$2:$B$160=N6)*(数据源!$C$2:$C$160=N7)),数据源!$E$2:$E$160)</f>
        <v>#N/A</v>
      </c>
      <c r="O9" s="12" t="e">
        <f>LOOKUP(1,0/((数据源!$A$2:$A$160=O5)*(数据源!$B$2:$B$160=O6)*(数据源!$C$2:$C$160=O7)),数据源!$E$2:$E$160)</f>
        <v>#N/A</v>
      </c>
      <c r="P9" s="12" t="e">
        <f>LOOKUP(1,0/((数据源!$A$2:$A$160=P5)*(数据源!$B$2:$B$160=P6)*(数据源!$C$2:$C$160=P7)),数据源!$E$2:$E$160)</f>
        <v>#N/A</v>
      </c>
      <c r="Q9" s="12">
        <f>LOOKUP(1,0/((数据源!$A$2:$A$160=Q5)*(数据源!$B$2:$B$160=Q6)*(数据源!$C$2:$C$160=Q7)),数据源!$E$2:$E$160)</f>
        <v>5</v>
      </c>
      <c r="R9" s="12">
        <f>LOOKUP(1,0/((数据源!$A$2:$A$160=R5)*(数据源!$B$2:$B$160=R6)*(数据源!$C$2:$C$160=R7)),数据源!$E$2:$E$160)</f>
        <v>8</v>
      </c>
      <c r="S9"/>
      <c r="T9"/>
      <c r="U9"/>
      <c r="V9"/>
      <c r="W9"/>
      <c r="X9"/>
      <c r="Y9"/>
    </row>
    <row r="10" spans="1:25" x14ac:dyDescent="0.15">
      <c r="A10"/>
      <c r="B10" s="25" t="s">
        <v>55</v>
      </c>
      <c r="C10" s="26" t="s">
        <v>3</v>
      </c>
      <c r="D10" s="12">
        <f>LOOKUP(1,0/((数据源!$A$2:$A$160=D5)*(数据源!$B$2:$B$160=D6)*(数据源!$C$2:$C$160=D7)),数据源!$F$2:$F$160)</f>
        <v>60</v>
      </c>
      <c r="E10" s="12">
        <f>LOOKUP(1,0/((数据源!$A$2:$A$160=E5)*(数据源!$B$2:$B$160=E6)*(数据源!$C$2:$C$160=E7)),数据源!$F$2:$F$160)</f>
        <v>60</v>
      </c>
      <c r="F10" s="12">
        <f>LOOKUP(1,0/((数据源!$A$2:$A$160=F5)*(数据源!$B$2:$B$160=F6)*(数据源!$C$2:$C$160=F7)),数据源!$F$2:$F$160)</f>
        <v>0</v>
      </c>
      <c r="G10" s="12">
        <f>LOOKUP(1,0/((数据源!$A$2:$A$160=G5)*(数据源!$B$2:$B$160=G6)*(数据源!$C$2:$C$160=G7)),数据源!$F$2:$F$160)</f>
        <v>15</v>
      </c>
      <c r="H10" s="12">
        <f>LOOKUP(1,0/((数据源!$A$2:$A$160=H5)*(数据源!$B$2:$B$160=H6)*(数据源!$C$2:$C$160=H7)),数据源!$F$2:$F$160)</f>
        <v>60</v>
      </c>
      <c r="I10" s="12">
        <f>LOOKUP(1,0/((数据源!$A$2:$A$160=I5)*(数据源!$B$2:$B$160=I6)*(数据源!$C$2:$C$160=I7)),数据源!$F$2:$F$160)</f>
        <v>60</v>
      </c>
      <c r="J10" s="12">
        <f>LOOKUP(1,0/((数据源!$A$2:$A$160=J5)*(数据源!$B$2:$B$160=J6)*(数据源!$C$2:$C$160=J7)),数据源!$F$2:$F$160)</f>
        <v>15</v>
      </c>
      <c r="K10" s="12">
        <f>LOOKUP(1,0/((数据源!$A$2:$A$160=K5)*(数据源!$B$2:$B$160=K6)*(数据源!$C$2:$C$160=K7)),数据源!$F$2:$F$160)</f>
        <v>60</v>
      </c>
      <c r="L10" s="12">
        <f>LOOKUP(1,0/((数据源!$A$2:$A$160=L5)*(数据源!$B$2:$B$160=L6)*(数据源!$C$2:$C$160=L7)),数据源!$F$2:$F$160)</f>
        <v>1000</v>
      </c>
      <c r="M10" s="12" t="e">
        <f>LOOKUP(1,0/((数据源!$A$2:$A$160=M5)*(数据源!$B$2:$B$160=M6)*(数据源!$C$2:$C$160=M7)),数据源!$F$2:$F$160)</f>
        <v>#N/A</v>
      </c>
      <c r="N10" s="12" t="e">
        <f>LOOKUP(1,0/((数据源!$A$2:$A$160=N5)*(数据源!$B$2:$B$160=N6)*(数据源!$C$2:$C$160=N7)),数据源!$F$2:$F$160)</f>
        <v>#N/A</v>
      </c>
      <c r="O10" s="12" t="e">
        <f>LOOKUP(1,0/((数据源!$A$2:$A$160=O5)*(数据源!$B$2:$B$160=O6)*(数据源!$C$2:$C$160=O7)),数据源!$F$2:$F$160)</f>
        <v>#N/A</v>
      </c>
      <c r="P10" s="12" t="e">
        <f>LOOKUP(1,0/((数据源!$A$2:$A$160=P5)*(数据源!$B$2:$B$160=P6)*(数据源!$C$2:$C$160=P7)),数据源!$F$2:$F$160)</f>
        <v>#N/A</v>
      </c>
      <c r="Q10" s="12">
        <f>LOOKUP(1,0/((数据源!$A$2:$A$160=Q5)*(数据源!$B$2:$B$160=Q6)*(数据源!$C$2:$C$160=Q7)),数据源!$F$2:$F$160)</f>
        <v>1000</v>
      </c>
      <c r="R10" s="12">
        <f>LOOKUP(1,0/((数据源!$A$2:$A$160=R5)*(数据源!$B$2:$B$160=R6)*(数据源!$C$2:$C$160=R7)),数据源!$F$2:$F$160)</f>
        <v>1000</v>
      </c>
      <c r="S10"/>
      <c r="T10"/>
      <c r="U10"/>
      <c r="V10"/>
      <c r="W10"/>
      <c r="X10"/>
      <c r="Y10"/>
    </row>
    <row r="11" spans="1:25" ht="17.25" thickBot="1" x14ac:dyDescent="0.2">
      <c r="A11" s="6"/>
      <c r="B11" s="29" t="s">
        <v>4</v>
      </c>
      <c r="C11" s="30" t="s">
        <v>3</v>
      </c>
      <c r="D11" s="13">
        <f>LOOKUP(1,0/((数据源!$A$2:$A$160=D5)*(数据源!$B$2:$B$160=D6)*(数据源!$C$2:$C$160=D7)),数据源!$G$2:$G$160)</f>
        <v>60</v>
      </c>
      <c r="E11" s="13">
        <f>LOOKUP(1,0/((数据源!$A$2:$A$160=E5)*(数据源!$B$2:$B$160=E6)*(数据源!$C$2:$C$160=E7)),数据源!$G$2:$G$160)</f>
        <v>60</v>
      </c>
      <c r="F11" s="13">
        <f>LOOKUP(1,0/((数据源!$A$2:$A$160=F5)*(数据源!$B$2:$B$160=F6)*(数据源!$C$2:$C$160=F7)),数据源!$G$2:$G$160)</f>
        <v>0</v>
      </c>
      <c r="G11" s="13">
        <f>LOOKUP(1,0/((数据源!$A$2:$A$160=G5)*(数据源!$B$2:$B$160=G6)*(数据源!$C$2:$C$160=G7)),数据源!$G$2:$G$160)</f>
        <v>16</v>
      </c>
      <c r="H11" s="13">
        <f>LOOKUP(1,0/((数据源!$A$2:$A$160=H5)*(数据源!$B$2:$B$160=H6)*(数据源!$C$2:$C$160=H7)),数据源!$G$2:$G$160)</f>
        <v>60</v>
      </c>
      <c r="I11" s="13">
        <f>LOOKUP(1,0/((数据源!$A$2:$A$160=I5)*(数据源!$B$2:$B$160=I6)*(数据源!$C$2:$C$160=I7)),数据源!$G$2:$G$160)</f>
        <v>60</v>
      </c>
      <c r="J11" s="13">
        <f>LOOKUP(1,0/((数据源!$A$2:$A$160=J5)*(数据源!$B$2:$B$160=J6)*(数据源!$C$2:$C$160=J7)),数据源!$G$2:$G$160)</f>
        <v>16</v>
      </c>
      <c r="K11" s="13">
        <f>LOOKUP(1,0/((数据源!$A$2:$A$160=K5)*(数据源!$B$2:$B$160=K6)*(数据源!$C$2:$C$160=K7)),数据源!$G$2:$G$160)</f>
        <v>60</v>
      </c>
      <c r="L11" s="13">
        <f>LOOKUP(1,0/((数据源!$A$2:$A$160=L5)*(数据源!$B$2:$B$160=L6)*(数据源!$C$2:$C$160=L7)),数据源!$G$2:$G$160)</f>
        <v>1000</v>
      </c>
      <c r="M11" s="13" t="e">
        <f>LOOKUP(1,0/((数据源!$A$2:$A$160=M5)*(数据源!$B$2:$B$160=M6)*(数据源!$C$2:$C$160=M7)),数据源!$G$2:$G$160)</f>
        <v>#N/A</v>
      </c>
      <c r="N11" s="13" t="e">
        <f>LOOKUP(1,0/((数据源!$A$2:$A$160=N5)*(数据源!$B$2:$B$160=N6)*(数据源!$C$2:$C$160=N7)),数据源!$G$2:$G$160)</f>
        <v>#N/A</v>
      </c>
      <c r="O11" s="13" t="e">
        <f>LOOKUP(1,0/((数据源!$A$2:$A$160=O5)*(数据源!$B$2:$B$160=O6)*(数据源!$C$2:$C$160=O7)),数据源!$G$2:$G$160)</f>
        <v>#N/A</v>
      </c>
      <c r="P11" s="13" t="e">
        <f>LOOKUP(1,0/((数据源!$A$2:$A$160=P5)*(数据源!$B$2:$B$160=P6)*(数据源!$C$2:$C$160=P7)),数据源!$G$2:$G$160)</f>
        <v>#N/A</v>
      </c>
      <c r="Q11" s="13">
        <f>LOOKUP(1,0/((数据源!$A$2:$A$160=Q5)*(数据源!$B$2:$B$160=Q6)*(数据源!$C$2:$C$160=Q7)),数据源!$G$2:$G$160)</f>
        <v>1000</v>
      </c>
      <c r="R11" s="13">
        <f>LOOKUP(1,0/((数据源!$A$2:$A$160=R5)*(数据源!$B$2:$B$160=R6)*(数据源!$C$2:$C$160=R7)),数据源!$G$2:$G$160)</f>
        <v>1000</v>
      </c>
      <c r="S11"/>
      <c r="T11"/>
      <c r="U11"/>
      <c r="V11"/>
      <c r="W11"/>
      <c r="X11"/>
      <c r="Y11"/>
    </row>
    <row r="12" spans="1:25" ht="17.25" thickTop="1" x14ac:dyDescent="0.15">
      <c r="A12" s="48">
        <f>M23</f>
        <v>-99.564574719691237</v>
      </c>
      <c r="B12" s="31" t="s">
        <v>5</v>
      </c>
      <c r="C12" s="32" t="s">
        <v>1</v>
      </c>
      <c r="D12" s="14">
        <f>IF(AND(D4&lt;&gt;FALSE,D8&lt;&gt;""),D8,"")</f>
        <v>-0.55000000000000004</v>
      </c>
      <c r="E12" s="11">
        <f>IF(OR($D$4:E$4)=FALSE,"",IF(E$4=FALSE,D12,IF(OR($D$4:D4)=FALSE,E8,E8+D12)))</f>
        <v>-2.25</v>
      </c>
      <c r="F12" s="11">
        <f>IF(OR($D$4:F$4)=FALSE,"",IF(F$4=FALSE,E12,IF(OR($D$4:E4)=FALSE,F8,F8+E12)))</f>
        <v>-3.05</v>
      </c>
      <c r="G12" s="11">
        <f>IF(OR($D$4:G$4)=FALSE,"",IF(G$4=FALSE,F12,IF(OR($D$4:F4)=FALSE,G8,G8+F12)))</f>
        <v>-3.05</v>
      </c>
      <c r="H12" s="11">
        <f>IF(OR($D$4:H$4)=FALSE,"",IF(H$4=FALSE,G12,IF(OR($D$4:G4)=FALSE,H8,H8+G12)))</f>
        <v>52.95</v>
      </c>
      <c r="I12" s="11">
        <f>IF(OR($D$4:I$4)=FALSE,"",IF(I$4=FALSE,H12,IF(OR($D$4:H4)=FALSE,I8,I8+H12)))</f>
        <v>52.95</v>
      </c>
      <c r="J12" s="11">
        <f>IF(OR($D$4:J$4)=FALSE,"",IF(J$4=FALSE,I12,IF(OR($D$4:I4)=FALSE,J8,J8+I12)))</f>
        <v>52.95</v>
      </c>
      <c r="K12" s="11">
        <f>IF(OR($D$4:K$4)=FALSE,"",IF(K$4=FALSE,J12,IF(OR($D$4:J4)=FALSE,K8,K8+J12)))</f>
        <v>52.95</v>
      </c>
      <c r="L12" s="11">
        <f>IF(OR($D$4:L$4)=FALSE,"",IF(L$4=FALSE,K12,IF(OR($D$4:K4)=FALSE,L8,L8+K12)))</f>
        <v>52.95</v>
      </c>
      <c r="M12" s="11">
        <f>IF(OR($D$4:M$4)=FALSE,"",IF(M$4=FALSE,L12,IF(OR($D$4:L4)=FALSE,M8,M8+L12)))</f>
        <v>52.95</v>
      </c>
      <c r="N12" s="11">
        <f>IF(OR($D$4:N$4)=FALSE,"",IF(N$4=FALSE,M12,IF(OR($D$4:M4)=FALSE,N8,N8+M12)))</f>
        <v>52.95</v>
      </c>
      <c r="O12" s="11">
        <f>IF(OR($D$4:O$4)=FALSE,"",IF(O$4=FALSE,N12,IF(OR($D$4:N4)=FALSE,O8,O8+N12)))</f>
        <v>52.95</v>
      </c>
      <c r="P12" s="11">
        <f>IF(OR($D$4:P$4)=FALSE,"",IF(P$4=FALSE,O12,IF(OR($D$4:O4)=FALSE,P8,P8+O12)))</f>
        <v>52.95</v>
      </c>
      <c r="Q12" s="11">
        <f>IF(OR($D$4:Q$4)=FALSE,"",IF(Q$4=FALSE,P12,IF(OR($D$4:P4)=FALSE,Q8,Q8+P12)))</f>
        <v>52.95</v>
      </c>
      <c r="R12" s="11">
        <f>IF(OR($D$4:R$4)=FALSE,"",IF(R$4=FALSE,Q12,IF(OR($D$4:Q4)=FALSE,R8,R8+Q12)))</f>
        <v>52.95</v>
      </c>
      <c r="S12"/>
      <c r="T12"/>
      <c r="U12"/>
      <c r="V12"/>
      <c r="W12"/>
      <c r="X12"/>
      <c r="Y12"/>
    </row>
    <row r="13" spans="1:25" x14ac:dyDescent="0.15">
      <c r="A13" s="6"/>
      <c r="B13" s="33" t="s">
        <v>6</v>
      </c>
      <c r="C13" s="34" t="s">
        <v>1</v>
      </c>
      <c r="D13" s="12">
        <f>IF(AND(D4&lt;&gt;FALSE,D9&lt;&gt;""),D9,"")</f>
        <v>0.55000000000000004</v>
      </c>
      <c r="E13" s="10">
        <f>IF(OR($D$4:E$4)=FALSE,"",IF(E$4=FALSE,D13,IF(OR($D$4:D$4)=FALSE,E9,10*LOG(10^(D13/10)+(10^(E9/10)-1)/10^(D12/10)))))</f>
        <v>2.25</v>
      </c>
      <c r="F13" s="10">
        <f>IF(OR($D$4:F$4)=FALSE,"",IF(F$4=FALSE,E13,IF(OR($D$4:E$4)=FALSE,F9,10*LOG(10^(E13/10)+(10^(F9/10)-1)/10^(E12/10)))))</f>
        <v>3.0500000000000007</v>
      </c>
      <c r="G13" s="10">
        <f>IF(OR($D$4:G$4)=FALSE,"",IF(G$4=FALSE,F13,IF(OR($D$4:F$4)=FALSE,G9,10*LOG(10^(F13/10)+(10^(G9/10)-1)/10^(F12/10)))))</f>
        <v>3.0500000000000007</v>
      </c>
      <c r="H13" s="10">
        <f>IF(OR($D$4:H$4)=FALSE,"",IF(H$4=FALSE,G13,IF(OR($D$4:G$4)=FALSE,H9,10*LOG(10^(G13/10)+(10^(H9/10)-1)/10^(G12/10)))))</f>
        <v>5.7500000000000009</v>
      </c>
      <c r="I13" s="10">
        <f>IF(OR($D$4:I$4)=FALSE,"",IF(I$4=FALSE,H13,IF(OR($D$4:H$4)=FALSE,I9,10*LOG(10^(H13/10)+(10^(I9/10)-1)/10^(H12/10)))))</f>
        <v>5.7500000000000009</v>
      </c>
      <c r="J13" s="10">
        <f>IF(OR($D$4:J$4)=FALSE,"",IF(J$4=FALSE,I13,IF(OR($D$4:I$4)=FALSE,J9,10*LOG(10^(I13/10)+(10^(J9/10)-1)/10^(I12/10)))))</f>
        <v>5.7500000000000009</v>
      </c>
      <c r="K13" s="10">
        <f>IF(OR($D$4:K$4)=FALSE,"",IF(K$4=FALSE,J13,IF(OR($D$4:J$4)=FALSE,K9,10*LOG(10^(J13/10)+(10^(K9/10)-1)/10^(J12/10)))))</f>
        <v>5.7500000000000009</v>
      </c>
      <c r="L13" s="10">
        <f>IF(OR($D$4:L$4)=FALSE,"",IF(L$4=FALSE,K13,IF(OR($D$4:K$4)=FALSE,L9,10*LOG(10^(K13/10)+(10^(L9/10)-1)/10^(K12/10)))))</f>
        <v>5.7500000000000009</v>
      </c>
      <c r="M13" s="10">
        <f>IF(OR($D$4:M$4)=FALSE,"",IF(M$4=FALSE,L13,IF(OR($D$4:L$4)=FALSE,M9,10*LOG(10^(L13/10)+(10^(M9/10)-1)/10^(L12/10)))))</f>
        <v>5.7500000000000009</v>
      </c>
      <c r="N13" s="10">
        <f>IF(OR($D$4:N$4)=FALSE,"",IF(N$4=FALSE,M13,IF(OR($D$4:M$4)=FALSE,N9,10*LOG(10^(M13/10)+(10^(N9/10)-1)/10^(M12/10)))))</f>
        <v>5.7500000000000009</v>
      </c>
      <c r="O13" s="10">
        <f>IF(OR($D$4:O$4)=FALSE,"",IF(O$4=FALSE,N13,IF(OR($D$4:N$4)=FALSE,O9,10*LOG(10^(N13/10)+(10^(O9/10)-1)/10^(N12/10)))))</f>
        <v>5.7500000000000009</v>
      </c>
      <c r="P13" s="10">
        <f>IF(OR($D$4:P$4)=FALSE,"",IF(P$4=FALSE,O13,IF(OR($D$4:O$4)=FALSE,P9,10*LOG(10^(O13/10)+(10^(P9/10)-1)/10^(O12/10)))))</f>
        <v>5.7500000000000009</v>
      </c>
      <c r="Q13" s="10">
        <f>IF(OR($D$4:Q$4)=FALSE,"",IF(Q$4=FALSE,P13,IF(OR($D$4:P$4)=FALSE,Q9,10*LOG(10^(P13/10)+(10^(Q9/10)-1)/10^(P12/10)))))</f>
        <v>5.7500000000000009</v>
      </c>
      <c r="R13" s="10">
        <f>IF(OR($D$4:R$4)=FALSE,"",IF(R$4=FALSE,Q13,IF(OR($D$4:Q$4)=FALSE,R9,10*LOG(10^(Q13/10)+(10^(R9/10)-1)/10^(Q12/10)))))</f>
        <v>5.7500000000000009</v>
      </c>
      <c r="S13" s="6"/>
      <c r="T13" s="6"/>
      <c r="U13" s="6"/>
      <c r="V13" s="6"/>
    </row>
    <row r="14" spans="1:25" x14ac:dyDescent="0.15">
      <c r="A14" s="6"/>
      <c r="B14" s="33" t="s">
        <v>7</v>
      </c>
      <c r="C14" s="34" t="s">
        <v>3</v>
      </c>
      <c r="D14" s="12">
        <f>IF(AND(D4&lt;&gt;FALSE,D10&lt;&gt;""),D10,"")</f>
        <v>60</v>
      </c>
      <c r="E14" s="10">
        <f>IF(OR($D$4:E$4)=FALSE,"",IF(E$4=FALSE,D14,IF(OR($D$4:D$4)=FALSE,E10,10*LOG(1/(1/10^(E10/10)+1/(10^(D14/10)*10^(E8/10)))))))</f>
        <v>56.057044851909019</v>
      </c>
      <c r="F14" s="10">
        <f>IF(OR($D$4:F$4)=FALSE,"",IF(F$4=FALSE,E14,IF(OR($D$4:E$4)=FALSE,F10,10*LOG(1/(1/10^(F10/10)+1/(10^(E14/10)*10^(F8/10)))))))</f>
        <v>-1.2944318157592059E-5</v>
      </c>
      <c r="G14" s="10">
        <f>IF(OR($D$4:G$4)=FALSE,"",IF(G$4=FALSE,F14,IF(OR($D$4:F$4)=FALSE,G10,10*LOG(1/(1/10^(G10/10)+1/(10^(F14/10)*10^(G8/10)))))))</f>
        <v>-1.2944318157592059E-5</v>
      </c>
      <c r="H14" s="10">
        <f>IF(OR($D$4:H$4)=FALSE,"",IF(H$4=FALSE,G14,IF(OR($D$4:G$4)=FALSE,H10,10*LOG(1/(1/10^(H10/10)+1/(10^(G14/10)*10^(H8/10)))))))</f>
        <v>54.544586110443959</v>
      </c>
      <c r="I14" s="10">
        <f>IF(OR($D$4:I$4)=FALSE,"",IF(I$4=FALSE,H14,IF(OR($D$4:H$4)=FALSE,I10,10*LOG(1/(1/10^(I10/10)+1/(10^(H14/10)*10^(I8/10)))))))</f>
        <v>54.544586110443959</v>
      </c>
      <c r="J14" s="10">
        <f>IF(OR($D$4:J$4)=FALSE,"",IF(J$4=FALSE,I14,IF(OR($D$4:I$4)=FALSE,J10,10*LOG(1/(1/10^(J10/10)+1/(10^(I14/10)*10^(J8/10)))))))</f>
        <v>54.544586110443959</v>
      </c>
      <c r="K14" s="10">
        <f>IF(OR($D$4:K$4)=FALSE,"",IF(K$4=FALSE,J14,IF(OR($D$4:J$4)=FALSE,K10,10*LOG(1/(1/10^(K10/10)+1/(10^(J14/10)*10^(K8/10)))))))</f>
        <v>54.544586110443959</v>
      </c>
      <c r="L14" s="10">
        <f>IF(OR($D$4:L$4)=FALSE,"",IF(L$4=FALSE,K14,IF(OR($D$4:K$4)=FALSE,L10,10*LOG(1/(1/10^(L10/10)+1/(10^(K14/10)*10^(L8/10)))))))</f>
        <v>54.544586110443959</v>
      </c>
      <c r="M14" s="10">
        <f>IF(OR($D$4:M$4)=FALSE,"",IF(M$4=FALSE,L14,IF(OR($D$4:L$4)=FALSE,M10,10*LOG(1/(1/10^(M10/10)+1/(10^(L14/10)*10^(M8/10)))))))</f>
        <v>54.544586110443959</v>
      </c>
      <c r="N14" s="10">
        <f>IF(OR($D$4:N$4)=FALSE,"",IF(N$4=FALSE,M14,IF(OR($D$4:M$4)=FALSE,N10,10*LOG(1/(1/10^(N10/10)+1/(10^(M14/10)*10^(N8/10)))))))</f>
        <v>54.544586110443959</v>
      </c>
      <c r="O14" s="10">
        <f>IF(OR($D$4:O$4)=FALSE,"",IF(O$4=FALSE,N14,IF(OR($D$4:N$4)=FALSE,O10,10*LOG(1/(1/10^(O10/10)+1/(10^(N14/10)*10^(O8/10)))))))</f>
        <v>54.544586110443959</v>
      </c>
      <c r="P14" s="10">
        <f>IF(OR($D$4:P$4)=FALSE,"",IF(P$4=FALSE,O14,IF(OR($D$4:O$4)=FALSE,P10,10*LOG(1/(1/10^(P10/10)+1/(10^(O14/10)*10^(P8/10)))))))</f>
        <v>54.544586110443959</v>
      </c>
      <c r="Q14" s="10">
        <f>IF(OR($D$4:Q$4)=FALSE,"",IF(Q$4=FALSE,P14,IF(OR($D$4:P$4)=FALSE,Q10,10*LOG(1/(1/10^(Q10/10)+1/(10^(P14/10)*10^(Q8/10)))))))</f>
        <v>54.544586110443959</v>
      </c>
      <c r="R14" s="10">
        <f>IF(OR($D$4:R$4)=FALSE,"",IF(R$4=FALSE,Q14,IF(OR($D$4:Q$4)=FALSE,R10,10*LOG(1/(1/10^(R10/10)+1/(10^(Q14/10)*10^(R8/10)))))))</f>
        <v>54.544586110443959</v>
      </c>
      <c r="S14" s="6"/>
      <c r="T14" s="6"/>
      <c r="U14" s="6"/>
      <c r="V14" s="6"/>
    </row>
    <row r="15" spans="1:25" ht="17.25" thickBot="1" x14ac:dyDescent="0.2">
      <c r="A15" s="6"/>
      <c r="B15" s="35" t="s">
        <v>36</v>
      </c>
      <c r="C15" s="36" t="s">
        <v>3</v>
      </c>
      <c r="D15" s="22">
        <f>IF(AND(D4&lt;&gt;FALSE,D11&lt;&gt;""),D11,"")</f>
        <v>60</v>
      </c>
      <c r="E15" s="16">
        <f>IF(OR($D$4:E$4)=FALSE,"",IF(E$4=FALSE,D15,IF(OR($D$4:D$4)=FALSE,E11,10*LOG(1/(1/10^(E11/10)+1/(10^(D15/10)*10^(E8/10)))))))</f>
        <v>56.057044851909019</v>
      </c>
      <c r="F15" s="16">
        <f>IF(OR($D$4:F$4)=FALSE,"",IF(F$4=FALSE,E15,IF(OR($D$4:E$4)=FALSE,F11,10*LOG(1/(1/10^(F11/10)+1/(10^(E15/10)*10^(F8/10)))))))</f>
        <v>-1.2944318157592059E-5</v>
      </c>
      <c r="G15" s="16">
        <f>IF(OR($D$4:G$4)=FALSE,"",IF(G$4=FALSE,F15,IF(OR($D$4:F$4)=FALSE,G11,10*LOG(1/(1/10^(G11/10)+1/(10^(F15/10)*10^(G8/10)))))))</f>
        <v>-1.2944318157592059E-5</v>
      </c>
      <c r="H15" s="16">
        <f>IF(OR($D$4:H$4)=FALSE,"",IF(H$4=FALSE,G15,IF(OR($D$4:G$4)=FALSE,H11,10*LOG(1/(1/10^(H11/10)+1/(10^(G15/10)*10^(H8/10)))))))</f>
        <v>54.544586110443959</v>
      </c>
      <c r="I15" s="16">
        <f>IF(OR($D$4:I$4)=FALSE,"",IF(I$4=FALSE,H15,IF(OR($D$4:H$4)=FALSE,I11,10*LOG(1/(1/10^(I11/10)+1/(10^(H15/10)*10^(I8/10)))))))</f>
        <v>54.544586110443959</v>
      </c>
      <c r="J15" s="16">
        <f>IF(OR($D$4:J$4)=FALSE,"",IF(J$4=FALSE,I15,IF(OR($D$4:I$4)=FALSE,J11,10*LOG(1/(1/10^(J11/10)+1/(10^(I15/10)*10^(J8/10)))))))</f>
        <v>54.544586110443959</v>
      </c>
      <c r="K15" s="16">
        <f>IF(OR($D$4:K$4)=FALSE,"",IF(K$4=FALSE,J15,IF(OR($D$4:J$4)=FALSE,K11,10*LOG(1/(1/10^(K11/10)+1/(10^(J15/10)*10^(K8/10)))))))</f>
        <v>54.544586110443959</v>
      </c>
      <c r="L15" s="16">
        <f>IF(OR($D$4:L$4)=FALSE,"",IF(L$4=FALSE,K15,IF(OR($D$4:K$4)=FALSE,L11,10*LOG(1/(1/10^(L11/10)+1/(10^(K15/10)*10^(L8/10)))))))</f>
        <v>54.544586110443959</v>
      </c>
      <c r="M15" s="16">
        <f>IF(OR($D$4:M$4)=FALSE,"",IF(M$4=FALSE,L15,IF(OR($D$4:L$4)=FALSE,M11,10*LOG(1/(1/10^(M11/10)+1/(10^(L15/10)*10^(M8/10)))))))</f>
        <v>54.544586110443959</v>
      </c>
      <c r="N15" s="16">
        <f>IF(OR($D$4:N$4)=FALSE,"",IF(N$4=FALSE,M15,IF(OR($D$4:M$4)=FALSE,N11,10*LOG(1/(1/10^(N11/10)+1/(10^(M15/10)*10^(N8/10)))))))</f>
        <v>54.544586110443959</v>
      </c>
      <c r="O15" s="16">
        <f>IF(OR($D$4:O$4)=FALSE,"",IF(O$4=FALSE,N15,IF(OR($D$4:N$4)=FALSE,O11,10*LOG(1/(1/10^(O11/10)+1/(10^(N15/10)*10^(O8/10)))))))</f>
        <v>54.544586110443959</v>
      </c>
      <c r="P15" s="16">
        <f>IF(OR($D$4:P$4)=FALSE,"",IF(P$4=FALSE,O15,IF(OR($D$4:O$4)=FALSE,P11,10*LOG(1/(1/10^(P11/10)+1/(10^(O15/10)*10^(P8/10)))))))</f>
        <v>54.544586110443959</v>
      </c>
      <c r="Q15" s="16">
        <f>IF(OR($D$4:Q$4)=FALSE,"",IF(Q$4=FALSE,P15,IF(OR($D$4:P$4)=FALSE,Q11,10*LOG(1/(1/10^(Q11/10)+1/(10^(P15/10)*10^(Q8/10)))))))</f>
        <v>54.544586110443959</v>
      </c>
      <c r="R15" s="16">
        <f>IF(OR($D$4:R$4)=FALSE,"",IF(R$4=FALSE,Q15,IF(OR($D$4:Q$4)=FALSE,R11,10*LOG(1/(1/10^(R11/10)+1/(10^(Q15/10)*10^(R8/10)))))))</f>
        <v>54.544586110443959</v>
      </c>
      <c r="S15" s="6"/>
      <c r="T15" s="6"/>
      <c r="U15" s="6"/>
      <c r="V15" s="6"/>
    </row>
    <row r="16" spans="1:25" ht="17.25" thickTop="1" x14ac:dyDescent="0.15">
      <c r="A16" s="6"/>
      <c r="B16" s="37" t="s">
        <v>37</v>
      </c>
      <c r="C16" s="38" t="s">
        <v>3</v>
      </c>
      <c r="D16" s="14">
        <f>IF(AND(D4&lt;&gt;FALSE,G23&lt;&gt;""),G23,"")</f>
        <v>-50</v>
      </c>
      <c r="E16" s="11">
        <f>IF(OR($D$4:E$4)=FALSE,"",IF(E$4=FALSE,D16,IF(OR($D$4:D$4)=FALSE,$G$23,D17)))</f>
        <v>-50.55</v>
      </c>
      <c r="F16" s="11">
        <f>IF(OR($D$4:F$4)=FALSE,"",IF(F$4=FALSE,E16,IF(OR($D$4:E$4)=FALSE,$G$23,E17)))</f>
        <v>-52.25</v>
      </c>
      <c r="G16" s="11">
        <f>IF(OR($D$4:G$4)=FALSE,"",IF(G$4=FALSE,F16,IF(OR($D$4:F$4)=FALSE,$G$23,F17)))</f>
        <v>-52.25</v>
      </c>
      <c r="H16" s="11">
        <f>IF(OR($D$4:H$4)=FALSE,"",IF(H$4=FALSE,G16,IF(OR($D$4:G$4)=FALSE,$G$23,G17)))</f>
        <v>-53.05</v>
      </c>
      <c r="I16" s="11">
        <f>IF(OR($D$4:I$4)=FALSE,"",IF(I$4=FALSE,H16,IF(OR($D$4:H$4)=FALSE,$G$23,H17)))</f>
        <v>-53.05</v>
      </c>
      <c r="J16" s="11">
        <f>IF(OR($D$4:J$4)=FALSE,"",IF(J$4=FALSE,I16,IF(OR($D$4:I$4)=FALSE,$G$23,I17)))</f>
        <v>-53.05</v>
      </c>
      <c r="K16" s="11">
        <f>IF(OR($D$4:K$4)=FALSE,"",IF(K$4=FALSE,J16,IF(OR($D$4:J$4)=FALSE,$G$23,J17)))</f>
        <v>-53.05</v>
      </c>
      <c r="L16" s="11">
        <f>IF(OR($D$4:L$4)=FALSE,"",IF(L$4=FALSE,K16,IF(OR($D$4:K$4)=FALSE,$G$23,K17)))</f>
        <v>-53.05</v>
      </c>
      <c r="M16" s="11">
        <f>IF(OR($D$4:M$4)=FALSE,"",IF(M$4=FALSE,L16,IF(OR($D$4:L$4)=FALSE,$G$23,L17)))</f>
        <v>-53.05</v>
      </c>
      <c r="N16" s="11">
        <f>IF(OR($D$4:N$4)=FALSE,"",IF(N$4=FALSE,M16,IF(OR($D$4:M$4)=FALSE,$G$23,M17)))</f>
        <v>-53.05</v>
      </c>
      <c r="O16" s="11">
        <f>IF(OR($D$4:O$4)=FALSE,"",IF(O$4=FALSE,N16,IF(OR($D$4:N$4)=FALSE,$G$23,N17)))</f>
        <v>-53.05</v>
      </c>
      <c r="P16" s="11">
        <f>IF(OR($D$4:P$4)=FALSE,"",IF(P$4=FALSE,O16,IF(OR($D$4:O$4)=FALSE,$G$23,O17)))</f>
        <v>-53.05</v>
      </c>
      <c r="Q16" s="11">
        <f>IF(OR($D$4:Q$4)=FALSE,"",IF(Q$4=FALSE,P16,IF(OR($D$4:P$4)=FALSE,$G$23,P17)))</f>
        <v>-53.05</v>
      </c>
      <c r="R16" s="11">
        <f>IF(OR($D$4:R$4)=FALSE,"",IF(R$4=FALSE,Q16,IF(OR($D$4:Q$4)=FALSE,$G$23,Q17)))</f>
        <v>-53.05</v>
      </c>
      <c r="S16" s="6"/>
      <c r="T16" s="6"/>
      <c r="U16" s="6"/>
      <c r="V16" s="6"/>
    </row>
    <row r="17" spans="1:22" x14ac:dyDescent="0.15">
      <c r="A17" s="6"/>
      <c r="B17" s="25" t="s">
        <v>8</v>
      </c>
      <c r="C17" s="26" t="s">
        <v>3</v>
      </c>
      <c r="D17" s="12">
        <f>IF(AND(D4&lt;&gt;FALSE,D8&lt;&gt;"",D16&lt;&gt;""),D16+D8,"")</f>
        <v>-50.55</v>
      </c>
      <c r="E17" s="10">
        <f>IF(AND(E4&lt;&gt;FALSE,E16&lt;&gt;"",E16&lt;&gt;""),E8+E16,D17)</f>
        <v>-52.25</v>
      </c>
      <c r="F17" s="10">
        <f t="shared" ref="F17:M17" si="0">IF(AND(F4&lt;&gt;FALSE,F16&lt;&gt;"",F16&lt;&gt;""),F8+F16,E17)</f>
        <v>-53.05</v>
      </c>
      <c r="G17" s="10">
        <f t="shared" si="0"/>
        <v>-53.05</v>
      </c>
      <c r="H17" s="10">
        <f t="shared" si="0"/>
        <v>2.9500000000000028</v>
      </c>
      <c r="I17" s="10">
        <f t="shared" si="0"/>
        <v>2.9500000000000028</v>
      </c>
      <c r="J17" s="10">
        <f t="shared" si="0"/>
        <v>2.9500000000000028</v>
      </c>
      <c r="K17" s="10">
        <f t="shared" si="0"/>
        <v>2.9500000000000028</v>
      </c>
      <c r="L17" s="10">
        <f t="shared" si="0"/>
        <v>2.9500000000000028</v>
      </c>
      <c r="M17" s="10">
        <f t="shared" si="0"/>
        <v>2.9500000000000028</v>
      </c>
      <c r="N17" s="10">
        <f>IF(AND(N4&lt;&gt;FALSE,N16&lt;&gt;"",N16&lt;&gt;""),N8+N16,M17)</f>
        <v>2.9500000000000028</v>
      </c>
      <c r="O17" s="10">
        <f>IF(AND(O4&lt;&gt;FALSE,O16&lt;&gt;"",O16&lt;&gt;""),O8+O16,N17)</f>
        <v>2.9500000000000028</v>
      </c>
      <c r="P17" s="10">
        <f>IF(AND(P4&lt;&gt;FALSE,P16&lt;&gt;"",P16&lt;&gt;""),P8+P16,O17)</f>
        <v>2.9500000000000028</v>
      </c>
      <c r="Q17" s="10">
        <f>IF(AND(Q4&lt;&gt;FALSE,Q16&lt;&gt;"",Q16&lt;&gt;""),Q8+Q16,P17)</f>
        <v>2.9500000000000028</v>
      </c>
      <c r="R17" s="10">
        <f>IF(AND(R4&lt;&gt;FALSE,R16&lt;&gt;"",R16&lt;&gt;""),R8+R16,Q17)</f>
        <v>2.9500000000000028</v>
      </c>
      <c r="S17" s="6"/>
      <c r="T17" s="6"/>
      <c r="U17" s="6"/>
      <c r="V17" s="6"/>
    </row>
    <row r="18" spans="1:22" x14ac:dyDescent="0.15">
      <c r="A18" s="6"/>
      <c r="B18" s="27" t="s">
        <v>9</v>
      </c>
      <c r="C18" s="28" t="s">
        <v>1</v>
      </c>
      <c r="D18" s="12">
        <f>IF(AND(D4&lt;&gt;FALSE,D10&lt;&gt;"",D17&lt;&gt;""),D10-D17,"")</f>
        <v>110.55</v>
      </c>
      <c r="E18" s="10">
        <f>IF(AND(E4&lt;&gt;FALSE,E10&lt;&gt;"",E17&lt;&gt;""),E10-E17,D18)</f>
        <v>112.25</v>
      </c>
      <c r="F18" s="10">
        <f t="shared" ref="F18:M18" si="1">IF(AND(F4&lt;&gt;FALSE,F10&lt;&gt;"",F17&lt;&gt;""),F10-F17,E18)</f>
        <v>53.05</v>
      </c>
      <c r="G18" s="10">
        <f t="shared" si="1"/>
        <v>53.05</v>
      </c>
      <c r="H18" s="10">
        <f t="shared" si="1"/>
        <v>57.05</v>
      </c>
      <c r="I18" s="10">
        <f t="shared" si="1"/>
        <v>57.05</v>
      </c>
      <c r="J18" s="10">
        <f t="shared" si="1"/>
        <v>57.05</v>
      </c>
      <c r="K18" s="10">
        <f t="shared" si="1"/>
        <v>57.05</v>
      </c>
      <c r="L18" s="10">
        <f t="shared" si="1"/>
        <v>57.05</v>
      </c>
      <c r="M18" s="10" t="e">
        <f t="shared" si="1"/>
        <v>#N/A</v>
      </c>
      <c r="N18" s="10" t="e">
        <f>IF(AND(N4&lt;&gt;FALSE,N10&lt;&gt;"",N17&lt;&gt;""),N10-N17,M18)</f>
        <v>#N/A</v>
      </c>
      <c r="O18" s="10" t="e">
        <f>IF(AND(O4&lt;&gt;FALSE,O10&lt;&gt;"",O17&lt;&gt;""),O10-O17,N18)</f>
        <v>#N/A</v>
      </c>
      <c r="P18" s="10" t="e">
        <f>IF(AND(P4&lt;&gt;FALSE,P10&lt;&gt;"",P17&lt;&gt;""),P10-P17,O18)</f>
        <v>#N/A</v>
      </c>
      <c r="Q18" s="10" t="e">
        <f>IF(AND(Q4&lt;&gt;FALSE,Q10&lt;&gt;"",Q17&lt;&gt;""),Q10-Q17,P18)</f>
        <v>#N/A</v>
      </c>
      <c r="R18" s="10" t="e">
        <f>IF(AND(R4&lt;&gt;FALSE,R10&lt;&gt;"",R17&lt;&gt;""),R10-R17,Q18)</f>
        <v>#N/A</v>
      </c>
      <c r="S18" s="6"/>
      <c r="T18" s="6"/>
      <c r="U18" s="6"/>
      <c r="V18" s="6"/>
    </row>
    <row r="19" spans="1:22" x14ac:dyDescent="0.15">
      <c r="A19" s="6"/>
      <c r="B19" s="25" t="s">
        <v>10</v>
      </c>
      <c r="C19" s="26" t="s">
        <v>42</v>
      </c>
      <c r="D19" s="12">
        <f>IF(AND(D4&lt;&gt;FALSE,D15&lt;&gt;"",D17&lt;&gt;""),2*(D15-D17),"")</f>
        <v>221.1</v>
      </c>
      <c r="E19" s="10">
        <f>IF(AND(E4&lt;&gt;FALSE,E15&lt;&gt;"",E17&lt;&gt;""),2*(E15-E17),D19)</f>
        <v>216.61408970381802</v>
      </c>
      <c r="F19" s="10">
        <f>IF(AND(F4&lt;&gt;FALSE,F15&lt;&gt;"",F17&lt;&gt;""),2*(F15-F17),E19)</f>
        <v>106.09997411136368</v>
      </c>
      <c r="G19" s="10">
        <f>IF(AND(G4&lt;&gt;FALSE,G15&lt;&gt;"",G17&lt;&gt;""),2*(G15-G17),F19)</f>
        <v>106.09997411136368</v>
      </c>
      <c r="H19" s="10">
        <f>IF(AND(H4&lt;&gt;FALSE,H15&lt;&gt;"",H17&lt;&gt;""),2*(H15-H17),G19)</f>
        <v>103.18917222088791</v>
      </c>
      <c r="I19" s="10">
        <f t="shared" ref="I19:R19" si="2">IF(AND(I4&lt;&gt;FALSE,I15&lt;&gt;"",I17&lt;&gt;""),2*(I15-I17),H19)</f>
        <v>103.18917222088791</v>
      </c>
      <c r="J19" s="10">
        <f t="shared" si="2"/>
        <v>103.18917222088791</v>
      </c>
      <c r="K19" s="10">
        <f t="shared" si="2"/>
        <v>103.18917222088791</v>
      </c>
      <c r="L19" s="10">
        <f t="shared" si="2"/>
        <v>103.18917222088791</v>
      </c>
      <c r="M19" s="10">
        <f t="shared" si="2"/>
        <v>103.18917222088791</v>
      </c>
      <c r="N19" s="10">
        <f t="shared" si="2"/>
        <v>103.18917222088791</v>
      </c>
      <c r="O19" s="10">
        <f t="shared" si="2"/>
        <v>103.18917222088791</v>
      </c>
      <c r="P19" s="10">
        <f t="shared" si="2"/>
        <v>103.18917222088791</v>
      </c>
      <c r="Q19" s="10">
        <f t="shared" si="2"/>
        <v>103.18917222088791</v>
      </c>
      <c r="R19" s="10">
        <f t="shared" si="2"/>
        <v>103.18917222088791</v>
      </c>
      <c r="S19" s="6"/>
      <c r="T19" s="6"/>
      <c r="U19" s="6"/>
      <c r="V19" s="6"/>
    </row>
    <row r="20" spans="1:22" x14ac:dyDescent="0.15">
      <c r="A20" s="6"/>
      <c r="B20" s="39" t="s">
        <v>13</v>
      </c>
      <c r="C20" s="40" t="s">
        <v>1</v>
      </c>
      <c r="D20" s="12">
        <f>IF(AND(D4&lt;&gt;FALSE,D15&lt;&gt;"",D17&lt;&gt;"",$G$28&lt;&gt;""),-20.75+1.6*$G$28+2*(D17-D15),"")</f>
        <v>-225.85</v>
      </c>
      <c r="E20" s="10">
        <f>IF(AND(E4&lt;&gt;FALSE,E15&lt;&gt;"",E17&lt;&gt;"",$G$28&lt;&gt;""),-20.75+1.6*$G$28+2*(E17-E15),D20)</f>
        <v>-221.36408970381802</v>
      </c>
      <c r="F20" s="10">
        <f t="shared" ref="F20:M20" si="3">IF(AND(F4&lt;&gt;FALSE,F15&lt;&gt;"",F17&lt;&gt;"",$G$28&lt;&gt;""),-20.75+1.6*$G$28+2*(F17-F15),E20)</f>
        <v>-110.84997411136368</v>
      </c>
      <c r="G20" s="10">
        <f t="shared" si="3"/>
        <v>-110.84997411136368</v>
      </c>
      <c r="H20" s="10">
        <f t="shared" si="3"/>
        <v>-107.93917222088791</v>
      </c>
      <c r="I20" s="10">
        <f t="shared" si="3"/>
        <v>-107.93917222088791</v>
      </c>
      <c r="J20" s="10">
        <f t="shared" si="3"/>
        <v>-107.93917222088791</v>
      </c>
      <c r="K20" s="10">
        <f t="shared" si="3"/>
        <v>-107.93917222088791</v>
      </c>
      <c r="L20" s="10">
        <f t="shared" si="3"/>
        <v>-107.93917222088791</v>
      </c>
      <c r="M20" s="10">
        <f t="shared" si="3"/>
        <v>-107.93917222088791</v>
      </c>
      <c r="N20" s="10">
        <f>IF(AND(N4&lt;&gt;FALSE,N15&lt;&gt;"",N17&lt;&gt;"",$G$28&lt;&gt;""),-20.75+1.6*$G$28+2*(N17-N15),M20)</f>
        <v>-107.93917222088791</v>
      </c>
      <c r="O20" s="10">
        <f>IF(AND(O4&lt;&gt;FALSE,O15&lt;&gt;"",O17&lt;&gt;"",$G$28&lt;&gt;""),-20.75+1.6*$G$28+2*(O17-O15),N20)</f>
        <v>-107.93917222088791</v>
      </c>
      <c r="P20" s="10">
        <f>IF(AND(P4&lt;&gt;FALSE,P15&lt;&gt;"",P17&lt;&gt;"",$G$28&lt;&gt;""),-20.75+1.6*$G$28+2*(P17-P15),O20)</f>
        <v>-107.93917222088791</v>
      </c>
      <c r="Q20" s="10">
        <f>IF(AND(Q4&lt;&gt;FALSE,Q15&lt;&gt;"",Q17&lt;&gt;"",$G$28&lt;&gt;""),-20.75+1.6*$G$28+2*(Q17-Q15),P20)</f>
        <v>-107.93917222088791</v>
      </c>
      <c r="R20" s="10">
        <f>IF(AND(R4&lt;&gt;FALSE,R15&lt;&gt;"",R17&lt;&gt;"",$G$28&lt;&gt;""),-20.75+1.6*$G$28+2*(R17-R15),Q20)</f>
        <v>-107.93917222088791</v>
      </c>
      <c r="S20" s="6"/>
      <c r="T20" s="6"/>
      <c r="U20" s="6"/>
      <c r="V20" s="6"/>
    </row>
    <row r="21" spans="1:22" x14ac:dyDescent="0.15">
      <c r="A21" s="6"/>
      <c r="B21" s="7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</row>
    <row r="22" spans="1:22" x14ac:dyDescent="0.15">
      <c r="A22" s="6"/>
      <c r="B22"/>
      <c r="C22"/>
      <c r="D22" s="74" t="s">
        <v>11</v>
      </c>
      <c r="E22" s="74"/>
      <c r="F22" s="74"/>
      <c r="G22" s="74"/>
      <c r="H22" s="17"/>
      <c r="I22" s="68" t="s">
        <v>48</v>
      </c>
      <c r="J22" s="69"/>
      <c r="K22" s="69"/>
      <c r="L22" s="69"/>
      <c r="M22" s="70"/>
      <c r="N22" s="6"/>
      <c r="O22" s="65" t="s">
        <v>19</v>
      </c>
      <c r="P22" s="66"/>
      <c r="Q22" s="66"/>
      <c r="R22" s="67"/>
      <c r="S22" s="6"/>
      <c r="T22" s="6"/>
      <c r="U22" s="6"/>
      <c r="V22" s="6"/>
    </row>
    <row r="23" spans="1:22" x14ac:dyDescent="0.15">
      <c r="A23" s="6"/>
      <c r="B23"/>
      <c r="C23"/>
      <c r="D23" s="75" t="s">
        <v>37</v>
      </c>
      <c r="E23" s="75"/>
      <c r="F23" s="19" t="s">
        <v>3</v>
      </c>
      <c r="G23" s="20">
        <v>-50</v>
      </c>
      <c r="H23" s="6"/>
      <c r="I23" s="74" t="s">
        <v>16</v>
      </c>
      <c r="J23" s="74"/>
      <c r="K23" s="74"/>
      <c r="L23" s="19" t="s">
        <v>3</v>
      </c>
      <c r="M23" s="12">
        <f>IF(AND(G25&lt;&gt;"",G27&lt;&gt;"",G26&lt;&gt;""),10*LOG(1.3806505*10^(-20)*G25*10^6*G27)+LOOKUP(9E+307,13:13)+G26,"")</f>
        <v>-99.564574719691237</v>
      </c>
      <c r="N23" s="6"/>
      <c r="O23" s="76" t="s">
        <v>21</v>
      </c>
      <c r="P23" s="77"/>
      <c r="Q23" s="77"/>
      <c r="R23" s="78"/>
      <c r="S23" s="6"/>
      <c r="T23" s="6"/>
      <c r="U23" s="6"/>
      <c r="V23" s="6"/>
    </row>
    <row r="24" spans="1:22" x14ac:dyDescent="0.15">
      <c r="A24" s="6"/>
      <c r="B24"/>
      <c r="C24"/>
      <c r="D24" s="75" t="s">
        <v>14</v>
      </c>
      <c r="E24" s="75"/>
      <c r="F24" s="19" t="s">
        <v>1</v>
      </c>
      <c r="G24" s="20">
        <v>10</v>
      </c>
      <c r="H24" s="6"/>
      <c r="I24" s="74" t="s">
        <v>17</v>
      </c>
      <c r="J24" s="74"/>
      <c r="K24" s="74"/>
      <c r="L24" s="19" t="s">
        <v>49</v>
      </c>
      <c r="M24" s="12">
        <f>IF(AND(G27&lt;&gt;""),10*LOG(1.3806505*10^(-20)*G27)+LOOKUP(9E+307,13:13),"")</f>
        <v>-168.10699981408447</v>
      </c>
      <c r="N24" s="6"/>
      <c r="O24" s="76" t="s">
        <v>51</v>
      </c>
      <c r="P24" s="77"/>
      <c r="Q24" s="77"/>
      <c r="R24" s="78"/>
      <c r="S24" s="6"/>
      <c r="T24" s="6"/>
      <c r="U24" s="6"/>
      <c r="V24" s="6"/>
    </row>
    <row r="25" spans="1:22" x14ac:dyDescent="0.15">
      <c r="A25" s="6"/>
      <c r="B25"/>
      <c r="C25"/>
      <c r="D25" s="75" t="s">
        <v>43</v>
      </c>
      <c r="E25" s="75"/>
      <c r="F25" s="19" t="s">
        <v>25</v>
      </c>
      <c r="G25" s="20">
        <v>9</v>
      </c>
      <c r="H25" s="6"/>
      <c r="I25" s="74" t="s">
        <v>22</v>
      </c>
      <c r="J25" s="74"/>
      <c r="K25" s="74"/>
      <c r="L25" s="19" t="s">
        <v>20</v>
      </c>
      <c r="M25" s="12">
        <f>IF(AND(M24&lt;&gt;""),M24+LOOKUP(9E+307,12:12),"")</f>
        <v>-115.15699981408447</v>
      </c>
      <c r="N25" s="6"/>
      <c r="O25" s="76" t="s">
        <v>33</v>
      </c>
      <c r="P25" s="77"/>
      <c r="Q25" s="77"/>
      <c r="R25" s="78"/>
      <c r="S25" s="6"/>
      <c r="T25" s="6"/>
      <c r="U25" s="6"/>
      <c r="V25" s="6"/>
    </row>
    <row r="26" spans="1:22" x14ac:dyDescent="0.15">
      <c r="A26" s="6"/>
      <c r="B26"/>
      <c r="C26"/>
      <c r="D26" s="75" t="s">
        <v>44</v>
      </c>
      <c r="E26" s="75"/>
      <c r="F26" s="19" t="s">
        <v>1</v>
      </c>
      <c r="G26" s="20">
        <v>-1</v>
      </c>
      <c r="H26" s="6"/>
      <c r="I26" s="74" t="s">
        <v>15</v>
      </c>
      <c r="J26" s="74"/>
      <c r="K26" s="74"/>
      <c r="L26" s="19" t="s">
        <v>20</v>
      </c>
      <c r="M26" s="12">
        <f>IF(AND(G25&lt;&gt;"",G27&lt;&gt;""),10*LOG(1.3806505*10^(-20)*G25*10^6*G27)+LOOKUP(9E+307,13:13),"")</f>
        <v>-98.564574719691237</v>
      </c>
      <c r="N26" s="6"/>
      <c r="O26" s="76" t="s">
        <v>34</v>
      </c>
      <c r="P26" s="77"/>
      <c r="Q26" s="77"/>
      <c r="R26" s="78"/>
      <c r="S26" s="6"/>
      <c r="T26" s="6"/>
      <c r="U26" s="6"/>
      <c r="V26" s="6"/>
    </row>
    <row r="27" spans="1:22" x14ac:dyDescent="0.15">
      <c r="A27" s="6"/>
      <c r="B27"/>
      <c r="C27"/>
      <c r="D27" s="75" t="s">
        <v>45</v>
      </c>
      <c r="E27" s="75"/>
      <c r="F27" s="19" t="s">
        <v>46</v>
      </c>
      <c r="G27" s="20">
        <v>298</v>
      </c>
      <c r="H27" s="6"/>
      <c r="I27" s="74" t="s">
        <v>18</v>
      </c>
      <c r="J27" s="74"/>
      <c r="K27" s="74"/>
      <c r="L27" s="19" t="s">
        <v>20</v>
      </c>
      <c r="M27" s="12">
        <f>IF(AND(M26&lt;&gt;""),M26+LOOKUP(9E+307,12:12),"")</f>
        <v>-45.614574719691234</v>
      </c>
      <c r="N27" s="6"/>
      <c r="O27" s="76" t="s">
        <v>23</v>
      </c>
      <c r="P27" s="77"/>
      <c r="Q27" s="77"/>
      <c r="R27" s="78"/>
      <c r="S27" s="6"/>
      <c r="T27" s="6"/>
      <c r="U27" s="6"/>
      <c r="V27" s="6"/>
    </row>
    <row r="28" spans="1:22" x14ac:dyDescent="0.15">
      <c r="A28" s="6"/>
      <c r="B28"/>
      <c r="C28"/>
      <c r="D28" s="75" t="s">
        <v>12</v>
      </c>
      <c r="E28" s="75"/>
      <c r="F28" s="19" t="s">
        <v>1</v>
      </c>
      <c r="G28" s="20">
        <v>10</v>
      </c>
      <c r="H28" s="6"/>
      <c r="I28" s="74" t="s">
        <v>50</v>
      </c>
      <c r="J28" s="74"/>
      <c r="K28" s="74"/>
      <c r="L28" s="19" t="s">
        <v>1</v>
      </c>
      <c r="M28" s="12">
        <f>G23-M26</f>
        <v>48.564574719691237</v>
      </c>
      <c r="N28" s="6"/>
      <c r="O28" s="76" t="s">
        <v>35</v>
      </c>
      <c r="P28" s="77"/>
      <c r="Q28" s="77"/>
      <c r="R28" s="78"/>
      <c r="S28" s="6"/>
      <c r="T28" s="6"/>
      <c r="U28" s="6"/>
      <c r="V28" s="6"/>
    </row>
    <row r="29" spans="1:22" x14ac:dyDescent="0.15">
      <c r="A29" s="6"/>
      <c r="B29"/>
      <c r="C29"/>
      <c r="D29" s="75" t="s">
        <v>28</v>
      </c>
      <c r="E29" s="75"/>
      <c r="F29" s="19"/>
      <c r="G29" s="20" t="s">
        <v>26</v>
      </c>
      <c r="H29" s="9"/>
      <c r="I29" s="74" t="s">
        <v>27</v>
      </c>
      <c r="J29" s="74"/>
      <c r="K29" s="74"/>
      <c r="L29" s="19"/>
      <c r="M29" s="18" t="str">
        <f>IF(G29="是",IF(LOOKUP(9E+307,17:17)&gt;G31,"起控","未起控"),"无效")</f>
        <v>未起控</v>
      </c>
      <c r="N29" s="8"/>
      <c r="O29" s="8"/>
      <c r="P29" s="8"/>
      <c r="Q29" s="8"/>
      <c r="R29" s="8"/>
      <c r="S29" s="8"/>
      <c r="T29" s="8"/>
      <c r="U29" s="8"/>
      <c r="V29" s="6"/>
    </row>
    <row r="30" spans="1:22" s="3" customFormat="1" x14ac:dyDescent="0.15">
      <c r="A30" s="8"/>
      <c r="B30" s="8"/>
      <c r="C30" s="6"/>
      <c r="D30" s="75" t="s">
        <v>60</v>
      </c>
      <c r="E30" s="75"/>
      <c r="F30" s="19"/>
      <c r="G30" s="20">
        <v>6</v>
      </c>
      <c r="H30" s="8"/>
      <c r="I30" s="74" t="s">
        <v>32</v>
      </c>
      <c r="J30" s="74"/>
      <c r="K30" s="74"/>
      <c r="L30" s="19" t="s">
        <v>1</v>
      </c>
      <c r="M30" s="12">
        <f>LOOKUP(9E+307,17:17)-G31</f>
        <v>-14.049999999999997</v>
      </c>
      <c r="N30" s="8"/>
      <c r="O30" s="8"/>
      <c r="P30" s="8"/>
      <c r="Q30" s="8"/>
      <c r="R30" s="8"/>
      <c r="S30" s="8"/>
      <c r="T30" s="8"/>
      <c r="U30" s="8"/>
      <c r="V30" s="8"/>
    </row>
    <row r="31" spans="1:22" s="3" customFormat="1" x14ac:dyDescent="0.15">
      <c r="A31" s="8"/>
      <c r="B31" s="8"/>
      <c r="C31" s="6"/>
      <c r="D31" s="75" t="s">
        <v>47</v>
      </c>
      <c r="E31" s="75"/>
      <c r="F31" s="19" t="s">
        <v>3</v>
      </c>
      <c r="G31" s="20">
        <v>17</v>
      </c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</row>
    <row r="32" spans="1:22" s="3" customFormat="1" x14ac:dyDescent="0.15">
      <c r="A32" s="8"/>
      <c r="B32" s="8"/>
      <c r="C32" s="6"/>
      <c r="D32" s="8" t="s">
        <v>68</v>
      </c>
      <c r="E32" s="8"/>
      <c r="F32" s="8"/>
      <c r="G32" s="6">
        <v>65</v>
      </c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</row>
    <row r="33" spans="1:22" s="3" customFormat="1" x14ac:dyDescent="0.15">
      <c r="A33" s="8"/>
      <c r="B33" s="8"/>
      <c r="C33" s="6"/>
      <c r="D33"/>
      <c r="E33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</row>
    <row r="34" spans="1:22" s="3" customFormat="1" x14ac:dyDescent="0.15">
      <c r="A34" s="8"/>
      <c r="B34" s="8"/>
      <c r="C34" s="6"/>
      <c r="D34"/>
      <c r="E34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</row>
    <row r="35" spans="1:22" s="3" customFormat="1" x14ac:dyDescent="0.15">
      <c r="A35" s="8"/>
      <c r="B35" s="8"/>
      <c r="C35" s="6"/>
      <c r="D35"/>
      <c r="E35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</row>
    <row r="36" spans="1:22" s="3" customFormat="1" x14ac:dyDescent="0.15">
      <c r="C36" s="6"/>
      <c r="D36"/>
      <c r="E36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</row>
    <row r="37" spans="1:22" s="3" customFormat="1" x14ac:dyDescent="0.15">
      <c r="C37" s="2"/>
      <c r="D37"/>
      <c r="E37"/>
      <c r="F37" s="8"/>
      <c r="G37" s="8"/>
    </row>
    <row r="38" spans="1:22" s="3" customFormat="1" x14ac:dyDescent="0.15">
      <c r="C38" s="2"/>
      <c r="D38"/>
      <c r="E38"/>
    </row>
    <row r="39" spans="1:22" s="3" customFormat="1" x14ac:dyDescent="0.15">
      <c r="C39" s="2"/>
      <c r="D39"/>
      <c r="E39"/>
    </row>
    <row r="40" spans="1:22" x14ac:dyDescent="0.15">
      <c r="B40" s="2"/>
      <c r="D40" s="3"/>
      <c r="E40" s="3"/>
      <c r="G40" s="3"/>
      <c r="J40" s="3"/>
      <c r="K40" s="3"/>
      <c r="L40" s="3"/>
      <c r="M40" s="3"/>
      <c r="N40" s="3"/>
      <c r="O40" s="3"/>
      <c r="P40" s="3"/>
    </row>
    <row r="41" spans="1:22" x14ac:dyDescent="0.15">
      <c r="J41" s="3"/>
      <c r="K41" s="3"/>
      <c r="L41" s="3"/>
      <c r="M41" s="3"/>
      <c r="N41" s="3"/>
    </row>
  </sheetData>
  <mergeCells count="27">
    <mergeCell ref="B1:C3"/>
    <mergeCell ref="D22:G22"/>
    <mergeCell ref="I22:M22"/>
    <mergeCell ref="O22:R22"/>
    <mergeCell ref="D23:E23"/>
    <mergeCell ref="I23:K23"/>
    <mergeCell ref="O23:R23"/>
    <mergeCell ref="D24:E24"/>
    <mergeCell ref="I24:K24"/>
    <mergeCell ref="O24:R24"/>
    <mergeCell ref="D25:E25"/>
    <mergeCell ref="I25:K25"/>
    <mergeCell ref="O25:R25"/>
    <mergeCell ref="D26:E26"/>
    <mergeCell ref="I26:K26"/>
    <mergeCell ref="O26:R26"/>
    <mergeCell ref="D27:E27"/>
    <mergeCell ref="I27:K27"/>
    <mergeCell ref="O27:R27"/>
    <mergeCell ref="D31:E31"/>
    <mergeCell ref="D28:E28"/>
    <mergeCell ref="I28:K28"/>
    <mergeCell ref="O28:R28"/>
    <mergeCell ref="D29:E29"/>
    <mergeCell ref="I29:K29"/>
    <mergeCell ref="D30:E30"/>
    <mergeCell ref="I30:K30"/>
  </mergeCells>
  <phoneticPr fontId="16" type="noConversion"/>
  <conditionalFormatting sqref="D18:R18">
    <cfRule type="cellIs" dxfId="102" priority="11" operator="lessThan">
      <formula>$G24</formula>
    </cfRule>
  </conditionalFormatting>
  <conditionalFormatting sqref="D5:R11">
    <cfRule type="expression" dxfId="101" priority="10">
      <formula>D$4=FALSE</formula>
    </cfRule>
  </conditionalFormatting>
  <conditionalFormatting sqref="M29">
    <cfRule type="cellIs" dxfId="100" priority="8" operator="equal">
      <formula>"未起控"</formula>
    </cfRule>
    <cfRule type="cellIs" dxfId="99" priority="9" operator="equal">
      <formula>"起控"</formula>
    </cfRule>
  </conditionalFormatting>
  <conditionalFormatting sqref="D12:R20">
    <cfRule type="expression" dxfId="98" priority="3">
      <formula>D$4=FALSE</formula>
    </cfRule>
  </conditionalFormatting>
  <conditionalFormatting sqref="D4:I4 K4:R4">
    <cfRule type="cellIs" dxfId="97" priority="6" operator="equal">
      <formula>FALSE</formula>
    </cfRule>
    <cfRule type="cellIs" dxfId="96" priority="7" operator="equal">
      <formula>TRUE</formula>
    </cfRule>
  </conditionalFormatting>
  <conditionalFormatting sqref="J4">
    <cfRule type="cellIs" dxfId="95" priority="4" operator="equal">
      <formula>FALSE</formula>
    </cfRule>
    <cfRule type="cellIs" dxfId="94" priority="5" operator="equal">
      <formula>TRUE</formula>
    </cfRule>
  </conditionalFormatting>
  <conditionalFormatting sqref="N13">
    <cfRule type="expression" dxfId="93" priority="1" stopIfTrue="1">
      <formula>$H$24&lt;0</formula>
    </cfRule>
    <cfRule type="expression" dxfId="92" priority="2">
      <formula>$H$24&gt;0</formula>
    </cfRule>
  </conditionalFormatting>
  <dataValidations count="4">
    <dataValidation type="list" allowBlank="1" showInputMessage="1" showErrorMessage="1" sqref="D7">
      <formula1>"704-960,1710-2170,2300-2690,"</formula1>
    </dataValidation>
    <dataValidation type="list" allowBlank="1" showInputMessage="1" showErrorMessage="1" sqref="D6">
      <formula1>"RTC8612H,AS186-302,QFE1045,QFE1040,QFE1035,RF1680,RF1656,"</formula1>
    </dataValidation>
    <dataValidation type="list" allowBlank="1" showInputMessage="1" showErrorMessage="1" sqref="E7">
      <formula1>"1805 - 1880,"</formula1>
    </dataValidation>
    <dataValidation type="list" allowBlank="1" showInputMessage="1" showErrorMessage="1" sqref="F7">
      <formula1>"700-1000,1700-2200,2400-2700,"</formula1>
    </dataValidation>
  </dataValidations>
  <pageMargins left="0.7" right="0.7" top="0.75" bottom="0.75" header="0.3" footer="0.3"/>
  <pageSetup paperSize="9" scale="49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85049" r:id="rId4" name="交换">
          <controlPr autoLine="0" r:id="rId5">
            <anchor moveWithCells="1">
              <from>
                <xdr:col>0</xdr:col>
                <xdr:colOff>66675</xdr:colOff>
                <xdr:row>2</xdr:row>
                <xdr:rowOff>200025</xdr:rowOff>
              </from>
              <to>
                <xdr:col>1</xdr:col>
                <xdr:colOff>0</xdr:colOff>
                <xdr:row>4</xdr:row>
                <xdr:rowOff>57150</xdr:rowOff>
              </to>
            </anchor>
          </controlPr>
        </control>
      </mc:Choice>
      <mc:Fallback>
        <control shapeId="85049" r:id="rId4" name="交换"/>
      </mc:Fallback>
    </mc:AlternateContent>
    <mc:AlternateContent xmlns:mc="http://schemas.openxmlformats.org/markup-compatibility/2006">
      <mc:Choice Requires="x14">
        <control shapeId="85050" r:id="rId6" name="stage2">
          <controlPr autoLine="0" r:id="rId7">
            <anchor moveWithCells="1">
              <from>
                <xdr:col>0</xdr:col>
                <xdr:colOff>66675</xdr:colOff>
                <xdr:row>5</xdr:row>
                <xdr:rowOff>104775</xdr:rowOff>
              </from>
              <to>
                <xdr:col>1</xdr:col>
                <xdr:colOff>0</xdr:colOff>
                <xdr:row>6</xdr:row>
                <xdr:rowOff>142875</xdr:rowOff>
              </to>
            </anchor>
          </controlPr>
        </control>
      </mc:Choice>
      <mc:Fallback>
        <control shapeId="85050" r:id="rId6" name="stage2"/>
      </mc:Fallback>
    </mc:AlternateContent>
    <mc:AlternateContent xmlns:mc="http://schemas.openxmlformats.org/markup-compatibility/2006">
      <mc:Choice Requires="x14">
        <control shapeId="85051" r:id="rId8" name="stage_num_set">
          <controlPr autoLine="0" r:id="rId9">
            <anchor moveWithCells="1">
              <from>
                <xdr:col>0</xdr:col>
                <xdr:colOff>66675</xdr:colOff>
                <xdr:row>8</xdr:row>
                <xdr:rowOff>38100</xdr:rowOff>
              </from>
              <to>
                <xdr:col>1</xdr:col>
                <xdr:colOff>0</xdr:colOff>
                <xdr:row>9</xdr:row>
                <xdr:rowOff>114300</xdr:rowOff>
              </to>
            </anchor>
          </controlPr>
        </control>
      </mc:Choice>
      <mc:Fallback>
        <control shapeId="85051" r:id="rId8" name="stage_num_set"/>
      </mc:Fallback>
    </mc:AlternateContent>
    <mc:AlternateContent xmlns:mc="http://schemas.openxmlformats.org/markup-compatibility/2006">
      <mc:Choice Requires="x14">
        <control shapeId="85052" r:id="rId10" name="stage_num">
          <controlPr autoLine="0" r:id="rId11">
            <anchor moveWithCells="1">
              <from>
                <xdr:col>0</xdr:col>
                <xdr:colOff>66675</xdr:colOff>
                <xdr:row>9</xdr:row>
                <xdr:rowOff>114300</xdr:rowOff>
              </from>
              <to>
                <xdr:col>1</xdr:col>
                <xdr:colOff>0</xdr:colOff>
                <xdr:row>10</xdr:row>
                <xdr:rowOff>152400</xdr:rowOff>
              </to>
            </anchor>
          </controlPr>
        </control>
      </mc:Choice>
      <mc:Fallback>
        <control shapeId="85052" r:id="rId10" name="stage_num"/>
      </mc:Fallback>
    </mc:AlternateContent>
    <mc:AlternateContent xmlns:mc="http://schemas.openxmlformats.org/markup-compatibility/2006">
      <mc:Choice Requires="x14">
        <control shapeId="85053" r:id="rId12" name="stage1">
          <controlPr autoLine="0" r:id="rId13">
            <anchor moveWithCells="1">
              <from>
                <xdr:col>0</xdr:col>
                <xdr:colOff>66675</xdr:colOff>
                <xdr:row>4</xdr:row>
                <xdr:rowOff>57150</xdr:rowOff>
              </from>
              <to>
                <xdr:col>1</xdr:col>
                <xdr:colOff>0</xdr:colOff>
                <xdr:row>5</xdr:row>
                <xdr:rowOff>104775</xdr:rowOff>
              </to>
            </anchor>
          </controlPr>
        </control>
      </mc:Choice>
      <mc:Fallback>
        <control shapeId="85053" r:id="rId12" name="stage1"/>
      </mc:Fallback>
    </mc:AlternateContent>
    <mc:AlternateContent xmlns:mc="http://schemas.openxmlformats.org/markup-compatibility/2006">
      <mc:Choice Requires="x14">
        <control shapeId="84993" r:id="rId14" name="Check Box 1">
          <controlPr defaultSize="0" autoFill="0" autoLine="0" autoPict="0" macro="[0]!复选框10_Click" altText="启用">
            <anchor moveWithCells="1">
              <from>
                <xdr:col>4</xdr:col>
                <xdr:colOff>152400</xdr:colOff>
                <xdr:row>2</xdr:row>
                <xdr:rowOff>200025</xdr:rowOff>
              </from>
              <to>
                <xdr:col>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994" r:id="rId15" name="Check Box 2">
          <controlPr defaultSize="0" autoFill="0" autoLine="0" autoPict="0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995" r:id="rId16" name="Check Box 3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996" r:id="rId17" name="Check Box 4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997" r:id="rId18" name="Check Box 5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998" r:id="rId19" name="Check Box 6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4999" r:id="rId20" name="Check Box 7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00" r:id="rId21" name="Check Box 8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01" r:id="rId22" name="Check Box 9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02" r:id="rId23" name="Check Box 10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03" r:id="rId24" name="Check Box 11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04" r:id="rId25" name="Check Box 12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05" r:id="rId26" name="Check Box 13">
          <controlPr defaultSize="0" autoFill="0" autoLine="0" autoPict="0" altText="启用">
            <anchor moveWithCells="1">
              <from>
                <xdr:col>4</xdr:col>
                <xdr:colOff>152400</xdr:colOff>
                <xdr:row>2</xdr:row>
                <xdr:rowOff>200025</xdr:rowOff>
              </from>
              <to>
                <xdr:col>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06" r:id="rId27" name="Check Box 14">
          <controlPr defaultSize="0" autoFill="0" autoLine="0" autoPict="0" macro="[0]!复选框10_Click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07" r:id="rId28" name="Check Box 15">
          <controlPr defaultSize="0" autoFill="0" autoLine="0" autoPict="0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08" r:id="rId29" name="Check Box 16">
          <controlPr defaultSize="0" autoFill="0" autoLine="0" autoPict="0" macro="[0]!复选框10_Click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09" r:id="rId30" name="Check Box 17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10" r:id="rId31" name="Check Box 18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11" r:id="rId32" name="Check Box 19">
          <controlPr defaultSize="0" autoFill="0" autoLine="0" autoPict="0" macro="[0]!复选框10_Click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12" r:id="rId33" name="Check Box 20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13" r:id="rId34" name="Check Box 21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14" r:id="rId35" name="Check Box 22">
          <controlPr defaultSize="0" autoFill="0" autoLine="0" autoPict="0" macro="[0]!复选框10_Click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15" r:id="rId36" name="Check Box 23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16" r:id="rId37" name="Check Box 24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17" r:id="rId38" name="Check Box 25">
          <controlPr defaultSize="0" autoFill="0" autoLine="0" autoPict="0" macro="[0]!复选框10_Click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18" r:id="rId39" name="Check Box 26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19" r:id="rId40" name="Check Box 27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20" r:id="rId41" name="Check Box 28">
          <controlPr defaultSize="0" autoFill="0" autoLine="0" autoPict="0" macro="[0]!复选框10_Click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21" r:id="rId42" name="Check Box 29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22" r:id="rId43" name="Check Box 30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23" r:id="rId44" name="Check Box 31">
          <controlPr defaultSize="0" autoFill="0" autoLine="0" autoPict="0" macro="[0]!复选框10_Click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24" r:id="rId45" name="Check Box 32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25" r:id="rId46" name="Check Box 33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26" r:id="rId47" name="Check Box 34">
          <controlPr defaultSize="0" autoFill="0" autoLine="0" autoPict="0" macro="[0]!复选框10_Click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27" r:id="rId48" name="Check Box 35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28" r:id="rId49" name="Check Box 36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29" r:id="rId50" name="Check Box 37">
          <controlPr defaultSize="0" autoFill="0" autoLine="0" autoPict="0" macro="[0]!复选框10_Click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30" r:id="rId51" name="Check Box 38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31" r:id="rId52" name="Check Box 39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32" r:id="rId53" name="Check Box 40">
          <controlPr defaultSize="0" autoFill="0" autoLine="0" autoPict="0" macro="[0]!复选框10_Click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33" r:id="rId54" name="Check Box 41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34" r:id="rId55" name="Check Box 42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35" r:id="rId56" name="Check Box 43">
          <controlPr defaultSize="0" autoFill="0" autoLine="0" autoPict="0" macro="[0]!复选框10_Click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36" r:id="rId57" name="Check Box 44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37" r:id="rId58" name="Check Box 45">
          <controlPr defaultSize="0" autoFill="0" autoLine="0" autoPict="0" altText="启用">
            <anchor moveWithCells="1">
              <from>
                <xdr:col>3</xdr:col>
                <xdr:colOff>152400</xdr:colOff>
                <xdr:row>2</xdr:row>
                <xdr:rowOff>200025</xdr:rowOff>
              </from>
              <to>
                <xdr:col>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38" r:id="rId59" name="Check Box 46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39" r:id="rId60" name="Check Box 47">
          <controlPr defaultSize="0" autoFill="0" autoLine="0" autoPict="0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40" r:id="rId61" name="Check Box 48">
          <controlPr defaultSize="0" autoFill="0" autoLine="0" autoPict="0" macro="[0]!复选框10_Click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41" r:id="rId62" name="Check Box 49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42" r:id="rId63" name="Check Box 50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43" r:id="rId64" name="Check Box 51">
          <controlPr defaultSize="0" autoFill="0" autoLine="0" autoPict="0" macro="[0]!复选框10_Click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44" r:id="rId65" name="Check Box 52">
          <controlPr defaultSize="0" autoFill="0" autoLine="0" autoPict="0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45" r:id="rId66" name="Check Box 53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46" r:id="rId67" name="Check Box 54">
          <controlPr defaultSize="0" autoFill="0" autoLine="0" autoPict="0" macro="[0]!复选框10_Click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47" r:id="rId68" name="Check Box 55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5048" r:id="rId69" name="Check Box 56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Y39"/>
  <sheetViews>
    <sheetView showGridLines="0" zoomScale="106" zoomScaleNormal="106" workbookViewId="0">
      <pane xSplit="3" topLeftCell="D1" activePane="topRight" state="frozen"/>
      <selection pane="topRight" activeCell="D7" sqref="D7"/>
    </sheetView>
  </sheetViews>
  <sheetFormatPr defaultRowHeight="16.5" x14ac:dyDescent="0.15"/>
  <cols>
    <col min="1" max="1" width="9" style="2"/>
    <col min="2" max="2" width="16.75" style="2" customWidth="1"/>
    <col min="3" max="3" width="6" style="2" bestFit="1" customWidth="1"/>
    <col min="4" max="4" width="19.375" style="2" customWidth="1"/>
    <col min="5" max="5" width="23.5" style="2" bestFit="1" customWidth="1"/>
    <col min="6" max="6" width="20.125" style="2" bestFit="1" customWidth="1"/>
    <col min="7" max="7" width="22.5" style="2" customWidth="1"/>
    <col min="8" max="18" width="12.625" style="2" customWidth="1"/>
    <col min="19" max="16384" width="9" style="2"/>
  </cols>
  <sheetData>
    <row r="1" spans="1:25" ht="45.75" customHeight="1" x14ac:dyDescent="0.15">
      <c r="A1" s="6"/>
      <c r="B1" s="63" t="s">
        <v>61</v>
      </c>
      <c r="C1" s="63"/>
      <c r="D1" s="6"/>
      <c r="E1" s="44"/>
      <c r="F1" s="44"/>
      <c r="G1" s="44"/>
      <c r="H1" s="44"/>
      <c r="I1" s="44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</row>
    <row r="2" spans="1:25" ht="16.5" customHeight="1" x14ac:dyDescent="0.15">
      <c r="A2" s="44"/>
      <c r="B2" s="63"/>
      <c r="C2" s="63"/>
      <c r="D2" s="6">
        <f>数据源!J5</f>
        <v>0</v>
      </c>
      <c r="E2" s="6"/>
      <c r="F2" s="6"/>
      <c r="G2" s="6"/>
      <c r="H2" s="44"/>
      <c r="I2" s="44"/>
      <c r="J2" s="44"/>
      <c r="K2" s="44"/>
      <c r="L2" s="6"/>
      <c r="M2" s="6"/>
      <c r="N2" s="6"/>
      <c r="O2" s="6"/>
      <c r="P2" s="6"/>
      <c r="Q2" s="6"/>
      <c r="R2" s="6"/>
      <c r="S2" s="6"/>
      <c r="T2" s="6"/>
      <c r="U2" s="6"/>
      <c r="V2" s="6"/>
    </row>
    <row r="3" spans="1:25" ht="16.5" customHeight="1" x14ac:dyDescent="0.15">
      <c r="A3" s="44"/>
      <c r="B3" s="64"/>
      <c r="C3" s="64"/>
      <c r="D3" s="25">
        <v>1</v>
      </c>
      <c r="E3" s="25">
        <v>2</v>
      </c>
      <c r="F3" s="25">
        <v>3</v>
      </c>
      <c r="G3" s="25">
        <v>4</v>
      </c>
      <c r="H3" s="25">
        <v>5</v>
      </c>
      <c r="I3" s="25">
        <v>6</v>
      </c>
      <c r="J3" s="25">
        <v>7</v>
      </c>
      <c r="K3" s="25">
        <v>8</v>
      </c>
      <c r="L3" s="25">
        <v>9</v>
      </c>
      <c r="M3" s="25">
        <v>10</v>
      </c>
      <c r="N3" s="25">
        <v>11</v>
      </c>
      <c r="O3" s="25">
        <v>12</v>
      </c>
      <c r="P3" s="25">
        <v>13</v>
      </c>
      <c r="Q3" s="25">
        <v>14</v>
      </c>
      <c r="R3" s="25">
        <v>15</v>
      </c>
      <c r="S3" s="6"/>
      <c r="T3" s="6"/>
      <c r="U3" s="6"/>
      <c r="V3" s="44"/>
      <c r="W3" s="44"/>
      <c r="X3" s="44"/>
      <c r="Y3" s="44"/>
    </row>
    <row r="4" spans="1:25" x14ac:dyDescent="0.15">
      <c r="A4" s="44"/>
      <c r="B4" s="25"/>
      <c r="C4" s="28" t="b">
        <v>1</v>
      </c>
      <c r="D4" s="23" t="b">
        <v>1</v>
      </c>
      <c r="E4" s="24" t="b">
        <v>1</v>
      </c>
      <c r="F4" s="24" t="b">
        <v>1</v>
      </c>
      <c r="G4" s="24" t="b">
        <v>1</v>
      </c>
      <c r="H4" s="24" t="b">
        <v>0</v>
      </c>
      <c r="I4" s="24" t="b">
        <v>0</v>
      </c>
      <c r="J4" s="24" t="b">
        <v>0</v>
      </c>
      <c r="K4" s="24" t="b">
        <v>0</v>
      </c>
      <c r="L4" s="24" t="b">
        <v>0</v>
      </c>
      <c r="M4" s="24" t="b">
        <v>0</v>
      </c>
      <c r="N4" s="24" t="b">
        <v>0</v>
      </c>
      <c r="O4" s="24" t="b">
        <v>0</v>
      </c>
      <c r="P4" s="24" t="b">
        <v>0</v>
      </c>
      <c r="Q4" s="24" t="b">
        <v>0</v>
      </c>
      <c r="R4" s="24" t="b">
        <v>0</v>
      </c>
      <c r="S4" s="44"/>
      <c r="T4" s="44"/>
      <c r="U4" s="44"/>
      <c r="V4" s="44"/>
      <c r="W4" s="44"/>
      <c r="X4" s="44"/>
      <c r="Y4" s="44"/>
    </row>
    <row r="5" spans="1:25" s="4" customFormat="1" x14ac:dyDescent="0.15">
      <c r="A5" s="44"/>
      <c r="B5" s="25" t="s">
        <v>24</v>
      </c>
      <c r="C5" s="26"/>
      <c r="D5" s="21" t="s">
        <v>80</v>
      </c>
      <c r="E5" s="21" t="s">
        <v>74</v>
      </c>
      <c r="F5" s="21" t="s">
        <v>101</v>
      </c>
      <c r="G5" s="21" t="s">
        <v>109</v>
      </c>
      <c r="H5" s="21" t="s">
        <v>99</v>
      </c>
      <c r="I5" s="21" t="s">
        <v>109</v>
      </c>
      <c r="J5" s="21" t="s">
        <v>112</v>
      </c>
      <c r="K5" s="21" t="s">
        <v>77</v>
      </c>
      <c r="L5" s="21" t="s">
        <v>29</v>
      </c>
      <c r="M5" s="21" t="s">
        <v>30</v>
      </c>
      <c r="N5" s="21" t="s">
        <v>30</v>
      </c>
      <c r="O5" s="21" t="s">
        <v>63</v>
      </c>
      <c r="P5" s="21" t="s">
        <v>31</v>
      </c>
      <c r="Q5" s="21" t="s">
        <v>29</v>
      </c>
      <c r="R5" s="21" t="s">
        <v>29</v>
      </c>
      <c r="S5" s="44"/>
      <c r="T5" s="44"/>
      <c r="U5" s="44"/>
      <c r="V5" s="44"/>
      <c r="W5" s="44"/>
      <c r="X5" s="44"/>
      <c r="Y5" s="44"/>
    </row>
    <row r="6" spans="1:25" s="4" customFormat="1" ht="21.75" customHeight="1" x14ac:dyDescent="0.15">
      <c r="A6" s="44"/>
      <c r="B6" s="27" t="s">
        <v>0</v>
      </c>
      <c r="C6" s="26"/>
      <c r="D6" s="45" t="s">
        <v>120</v>
      </c>
      <c r="E6" s="45" t="s">
        <v>124</v>
      </c>
      <c r="F6" s="45" t="s">
        <v>98</v>
      </c>
      <c r="G6" s="45" t="s">
        <v>119</v>
      </c>
      <c r="H6" s="45" t="s">
        <v>100</v>
      </c>
      <c r="I6" s="45" t="s">
        <v>110</v>
      </c>
      <c r="J6" s="45" t="s">
        <v>113</v>
      </c>
      <c r="K6" s="45" t="s">
        <v>78</v>
      </c>
      <c r="L6" s="45" t="s">
        <v>65</v>
      </c>
      <c r="M6" s="45" t="s">
        <v>69</v>
      </c>
      <c r="N6" s="45" t="s">
        <v>66</v>
      </c>
      <c r="O6" s="45" t="s">
        <v>67</v>
      </c>
      <c r="P6" s="45" t="s">
        <v>53</v>
      </c>
      <c r="Q6" s="45" t="s">
        <v>59</v>
      </c>
      <c r="R6" s="45" t="s">
        <v>56</v>
      </c>
      <c r="S6" s="44"/>
      <c r="T6" s="44"/>
      <c r="U6" s="44"/>
      <c r="V6" s="44"/>
      <c r="W6" s="44"/>
      <c r="X6" s="44"/>
      <c r="Y6" s="44"/>
    </row>
    <row r="7" spans="1:25" s="4" customFormat="1" ht="17.25" thickBot="1" x14ac:dyDescent="0.2">
      <c r="A7" s="44"/>
      <c r="B7" s="27" t="s">
        <v>57</v>
      </c>
      <c r="C7" s="28" t="s">
        <v>25</v>
      </c>
      <c r="D7" s="42" t="s">
        <v>123</v>
      </c>
      <c r="E7" s="42" t="s">
        <v>125</v>
      </c>
      <c r="F7" s="42" t="s">
        <v>89</v>
      </c>
      <c r="G7" s="42" t="s">
        <v>90</v>
      </c>
      <c r="H7" s="42" t="s">
        <v>72</v>
      </c>
      <c r="I7" s="42" t="s">
        <v>111</v>
      </c>
      <c r="J7" s="42" t="s">
        <v>114</v>
      </c>
      <c r="K7" s="42" t="s">
        <v>92</v>
      </c>
      <c r="L7" s="42" t="s">
        <v>54</v>
      </c>
      <c r="M7" s="42" t="s">
        <v>64</v>
      </c>
      <c r="N7" s="42" t="s">
        <v>64</v>
      </c>
      <c r="O7" s="42" t="s">
        <v>62</v>
      </c>
      <c r="P7" s="42" t="s">
        <v>62</v>
      </c>
      <c r="Q7" s="42" t="s">
        <v>54</v>
      </c>
      <c r="R7" s="42" t="s">
        <v>54</v>
      </c>
      <c r="S7" s="44"/>
      <c r="T7" s="44"/>
      <c r="U7" s="44"/>
      <c r="V7" s="44"/>
      <c r="W7" s="44"/>
      <c r="X7" s="44"/>
      <c r="Y7" s="44"/>
    </row>
    <row r="8" spans="1:25" ht="17.25" thickTop="1" x14ac:dyDescent="0.15">
      <c r="A8" s="44"/>
      <c r="B8" s="25" t="s">
        <v>58</v>
      </c>
      <c r="C8" s="26" t="s">
        <v>1</v>
      </c>
      <c r="D8" s="15">
        <f>LOOKUP(1,0/((数据源!$A$2:$A$160=D5)*(数据源!$B$2:$B$160=D6)*(数据源!$C$2:$C$160=D7)),数据源!$D$2:$D$160)</f>
        <v>-1.1000000000000001</v>
      </c>
      <c r="E8" s="15">
        <f>LOOKUP(1,0/((数据源!$A$2:$A$160=E5)*(数据源!$B$2:$B$160=E6)*(数据源!$C$2:$C$160=E7)),数据源!$D$2:$D$160)</f>
        <v>-2.1</v>
      </c>
      <c r="F8" s="15">
        <f>LOOKUP(1,0/((数据源!$A$2:$A$160=F5)*(数据源!$B$2:$B$160=F6)*(数据源!$C$2:$C$160=F7)),数据源!$D$2:$D$160)</f>
        <v>-1.1000000000000001</v>
      </c>
      <c r="G8" s="15">
        <f>LOOKUP(1,0/((数据源!$A$2:$A$160=G5)*(数据源!$B$2:$B$160=G6)*(数据源!$C$2:$C$160=G7)),数据源!$D$2:$D$160)</f>
        <v>56</v>
      </c>
      <c r="H8" s="15">
        <f>LOOKUP(1,0/((数据源!$A$2:$A$160=H5)*(数据源!$B$2:$B$160=H6)*(数据源!$C$2:$C$160=H7)),数据源!$D$2:$D$160)</f>
        <v>15</v>
      </c>
      <c r="I8" s="15">
        <f>LOOKUP(1,0/((数据源!$A$2:$A$160=I5)*(数据源!$B$2:$B$160=I6)*(数据源!$C$2:$C$160=I7)),数据源!$D$2:$D$160)</f>
        <v>56</v>
      </c>
      <c r="J8" s="15">
        <f>LOOKUP(1,0/((数据源!$A$2:$A$160=J5)*(数据源!$B$2:$B$160=J6)*(数据源!$C$2:$C$160=J7)),数据源!$D$2:$D$160)</f>
        <v>-0.7</v>
      </c>
      <c r="K8" s="15">
        <f>LOOKUP(1,0/((数据源!$A$2:$A$160=K5)*(数据源!$B$2:$B$160=K6)*(数据源!$C$2:$C$160=K7)),数据源!$D$2:$D$160)</f>
        <v>56</v>
      </c>
      <c r="L8" s="15">
        <f>LOOKUP(1,0/((数据源!$A$2:$A$160=L5)*(数据源!$B$2:$B$160=L6)*(数据源!$C$2:$C$160=L7)),数据源!$D$2:$D$160)</f>
        <v>-2</v>
      </c>
      <c r="M8" s="15" t="e">
        <f>LOOKUP(1,0/((数据源!$A$2:$A$160=M5)*(数据源!$B$2:$B$160=M6)*(数据源!$C$2:$C$160=M7)),数据源!$D$2:$D$160)</f>
        <v>#N/A</v>
      </c>
      <c r="N8" s="15" t="e">
        <f>LOOKUP(1,0/((数据源!$A$2:$A$160=N5)*(数据源!$B$2:$B$160=N6)*(数据源!$C$2:$C$160=N7)),数据源!$D$2:$D$160)</f>
        <v>#N/A</v>
      </c>
      <c r="O8" s="15" t="e">
        <f>LOOKUP(1,0/((数据源!$A$2:$A$160=O5)*(数据源!$B$2:$B$160=O6)*(数据源!$C$2:$C$160=O7)),数据源!$D$2:$D$160)</f>
        <v>#N/A</v>
      </c>
      <c r="P8" s="15" t="e">
        <f>LOOKUP(1,0/((数据源!$A$2:$A$160=P5)*(数据源!$B$2:$B$160=P6)*(数据源!$C$2:$C$160=P7)),数据源!$D$2:$D$160)</f>
        <v>#N/A</v>
      </c>
      <c r="Q8" s="15">
        <f>LOOKUP(1,0/((数据源!$A$2:$A$160=Q5)*(数据源!$B$2:$B$160=Q6)*(数据源!$C$2:$C$160=Q7)),数据源!$D$2:$D$160)</f>
        <v>-5</v>
      </c>
      <c r="R8" s="15">
        <f>LOOKUP(1,0/((数据源!$A$2:$A$160=R5)*(数据源!$B$2:$B$160=R6)*(数据源!$C$2:$C$160=R7)),数据源!$D$2:$D$160)</f>
        <v>-8</v>
      </c>
      <c r="S8" s="44"/>
      <c r="T8" s="44"/>
      <c r="U8" s="44"/>
      <c r="V8" s="44"/>
      <c r="W8" s="44"/>
      <c r="X8" s="44"/>
      <c r="Y8" s="44"/>
    </row>
    <row r="9" spans="1:25" x14ac:dyDescent="0.15">
      <c r="A9" s="44"/>
      <c r="B9" s="25" t="s">
        <v>2</v>
      </c>
      <c r="C9" s="26" t="s">
        <v>1</v>
      </c>
      <c r="D9" s="12">
        <f>LOOKUP(1,0/((数据源!$A$2:$A$160=D5)*(数据源!$B$2:$B$160=D6)*(数据源!$C$2:$C$160=D7)),数据源!$E$2:$E$160)</f>
        <v>1.1000000000000001</v>
      </c>
      <c r="E9" s="12">
        <f>LOOKUP(1,0/((数据源!$A$2:$A$160=E5)*(数据源!$B$2:$B$160=E6)*(数据源!$C$2:$C$160=E7)),数据源!$E$2:$E$160)</f>
        <v>2.1</v>
      </c>
      <c r="F9" s="12">
        <f>LOOKUP(1,0/((数据源!$A$2:$A$160=F5)*(数据源!$B$2:$B$160=F6)*(数据源!$C$2:$C$160=F7)),数据源!$E$2:$E$160)</f>
        <v>1.1000000000000001</v>
      </c>
      <c r="G9" s="12">
        <f>LOOKUP(1,0/((数据源!$A$2:$A$160=G5)*(数据源!$B$2:$B$160=G6)*(数据源!$C$2:$C$160=G7)),数据源!$E$2:$E$160)</f>
        <v>3</v>
      </c>
      <c r="H9" s="12">
        <f>LOOKUP(1,0/((数据源!$A$2:$A$160=H5)*(数据源!$B$2:$B$160=H6)*(数据源!$C$2:$C$160=H7)),数据源!$E$2:$E$160)</f>
        <v>0.7</v>
      </c>
      <c r="I9" s="12">
        <f>LOOKUP(1,0/((数据源!$A$2:$A$160=I5)*(数据源!$B$2:$B$160=I6)*(数据源!$C$2:$C$160=I7)),数据源!$E$2:$E$160)</f>
        <v>2.7</v>
      </c>
      <c r="J9" s="12">
        <f>LOOKUP(1,0/((数据源!$A$2:$A$160=J5)*(数据源!$B$2:$B$160=J6)*(数据源!$C$2:$C$160=J7)),数据源!$E$2:$E$160)</f>
        <v>0.7</v>
      </c>
      <c r="K9" s="12">
        <f>LOOKUP(1,0/((数据源!$A$2:$A$160=K5)*(数据源!$B$2:$B$160=K6)*(数据源!$C$2:$C$160=K7)),数据源!$E$2:$E$160)</f>
        <v>2.7</v>
      </c>
      <c r="L9" s="12">
        <f>LOOKUP(1,0/((数据源!$A$2:$A$160=L5)*(数据源!$B$2:$B$160=L6)*(数据源!$C$2:$C$160=L7)),数据源!$E$2:$E$160)</f>
        <v>2</v>
      </c>
      <c r="M9" s="12" t="e">
        <f>LOOKUP(1,0/((数据源!$A$2:$A$160=M5)*(数据源!$B$2:$B$160=M6)*(数据源!$C$2:$C$160=M7)),数据源!$E$2:$E$160)</f>
        <v>#N/A</v>
      </c>
      <c r="N9" s="12" t="e">
        <f>LOOKUP(1,0/((数据源!$A$2:$A$160=N5)*(数据源!$B$2:$B$160=N6)*(数据源!$C$2:$C$160=N7)),数据源!$E$2:$E$160)</f>
        <v>#N/A</v>
      </c>
      <c r="O9" s="12" t="e">
        <f>LOOKUP(1,0/((数据源!$A$2:$A$160=O5)*(数据源!$B$2:$B$160=O6)*(数据源!$C$2:$C$160=O7)),数据源!$E$2:$E$160)</f>
        <v>#N/A</v>
      </c>
      <c r="P9" s="12" t="e">
        <f>LOOKUP(1,0/((数据源!$A$2:$A$160=P5)*(数据源!$B$2:$B$160=P6)*(数据源!$C$2:$C$160=P7)),数据源!$E$2:$E$160)</f>
        <v>#N/A</v>
      </c>
      <c r="Q9" s="12">
        <f>LOOKUP(1,0/((数据源!$A$2:$A$160=Q5)*(数据源!$B$2:$B$160=Q6)*(数据源!$C$2:$C$160=Q7)),数据源!$E$2:$E$160)</f>
        <v>5</v>
      </c>
      <c r="R9" s="12">
        <f>LOOKUP(1,0/((数据源!$A$2:$A$160=R5)*(数据源!$B$2:$B$160=R6)*(数据源!$C$2:$C$160=R7)),数据源!$E$2:$E$160)</f>
        <v>8</v>
      </c>
      <c r="S9" s="44"/>
      <c r="T9" s="44"/>
      <c r="U9" s="44"/>
      <c r="V9" s="44"/>
      <c r="W9" s="44"/>
      <c r="X9" s="44"/>
      <c r="Y9" s="44"/>
    </row>
    <row r="10" spans="1:25" x14ac:dyDescent="0.15">
      <c r="A10" s="44"/>
      <c r="B10" s="25" t="s">
        <v>55</v>
      </c>
      <c r="C10" s="26" t="s">
        <v>3</v>
      </c>
      <c r="D10" s="12">
        <f>LOOKUP(1,0/((数据源!$A$2:$A$160=D5)*(数据源!$B$2:$B$160=D6)*(数据源!$C$2:$C$160=D7)),数据源!$F$2:$F$160)</f>
        <v>60</v>
      </c>
      <c r="E10" s="12">
        <f>LOOKUP(1,0/((数据源!$A$2:$A$160=E5)*(数据源!$B$2:$B$160=E6)*(数据源!$C$2:$C$160=E7)),数据源!$F$2:$F$160)</f>
        <v>60</v>
      </c>
      <c r="F10" s="12">
        <f>LOOKUP(1,0/((数据源!$A$2:$A$160=F5)*(数据源!$B$2:$B$160=F6)*(数据源!$C$2:$C$160=F7)),数据源!$F$2:$F$160)</f>
        <v>60</v>
      </c>
      <c r="G10" s="12">
        <f>LOOKUP(1,0/((数据源!$A$2:$A$160=G5)*(数据源!$B$2:$B$160=G6)*(数据源!$C$2:$C$160=G7)),数据源!$F$2:$F$160)</f>
        <v>60</v>
      </c>
      <c r="H10" s="12">
        <f>LOOKUP(1,0/((数据源!$A$2:$A$160=H5)*(数据源!$B$2:$B$160=H6)*(数据源!$C$2:$C$160=H7)),数据源!$F$2:$F$160)</f>
        <v>15</v>
      </c>
      <c r="I10" s="12">
        <f>LOOKUP(1,0/((数据源!$A$2:$A$160=I5)*(数据源!$B$2:$B$160=I6)*(数据源!$C$2:$C$160=I7)),数据源!$F$2:$F$160)</f>
        <v>60</v>
      </c>
      <c r="J10" s="12">
        <f>LOOKUP(1,0/((数据源!$A$2:$A$160=J5)*(数据源!$B$2:$B$160=J6)*(数据源!$C$2:$C$160=J7)),数据源!$F$2:$F$160)</f>
        <v>60</v>
      </c>
      <c r="K10" s="12">
        <f>LOOKUP(1,0/((数据源!$A$2:$A$160=K5)*(数据源!$B$2:$B$160=K6)*(数据源!$C$2:$C$160=K7)),数据源!$F$2:$F$160)</f>
        <v>60</v>
      </c>
      <c r="L10" s="12">
        <f>LOOKUP(1,0/((数据源!$A$2:$A$160=L5)*(数据源!$B$2:$B$160=L6)*(数据源!$C$2:$C$160=L7)),数据源!$F$2:$F$160)</f>
        <v>1000</v>
      </c>
      <c r="M10" s="12" t="e">
        <f>LOOKUP(1,0/((数据源!$A$2:$A$160=M5)*(数据源!$B$2:$B$160=M6)*(数据源!$C$2:$C$160=M7)),数据源!$F$2:$F$160)</f>
        <v>#N/A</v>
      </c>
      <c r="N10" s="12" t="e">
        <f>LOOKUP(1,0/((数据源!$A$2:$A$160=N5)*(数据源!$B$2:$B$160=N6)*(数据源!$C$2:$C$160=N7)),数据源!$F$2:$F$160)</f>
        <v>#N/A</v>
      </c>
      <c r="O10" s="12" t="e">
        <f>LOOKUP(1,0/((数据源!$A$2:$A$160=O5)*(数据源!$B$2:$B$160=O6)*(数据源!$C$2:$C$160=O7)),数据源!$F$2:$F$160)</f>
        <v>#N/A</v>
      </c>
      <c r="P10" s="12" t="e">
        <f>LOOKUP(1,0/((数据源!$A$2:$A$160=P5)*(数据源!$B$2:$B$160=P6)*(数据源!$C$2:$C$160=P7)),数据源!$F$2:$F$160)</f>
        <v>#N/A</v>
      </c>
      <c r="Q10" s="12">
        <f>LOOKUP(1,0/((数据源!$A$2:$A$160=Q5)*(数据源!$B$2:$B$160=Q6)*(数据源!$C$2:$C$160=Q7)),数据源!$F$2:$F$160)</f>
        <v>1000</v>
      </c>
      <c r="R10" s="12">
        <f>LOOKUP(1,0/((数据源!$A$2:$A$160=R5)*(数据源!$B$2:$B$160=R6)*(数据源!$C$2:$C$160=R7)),数据源!$F$2:$F$160)</f>
        <v>1000</v>
      </c>
      <c r="S10" s="44"/>
      <c r="T10" s="44"/>
      <c r="U10" s="44"/>
      <c r="V10" s="44"/>
      <c r="W10" s="44"/>
      <c r="X10" s="44"/>
      <c r="Y10" s="44"/>
    </row>
    <row r="11" spans="1:25" ht="17.25" thickBot="1" x14ac:dyDescent="0.2">
      <c r="A11" s="6"/>
      <c r="B11" s="29" t="s">
        <v>4</v>
      </c>
      <c r="C11" s="30" t="s">
        <v>3</v>
      </c>
      <c r="D11" s="13">
        <f>LOOKUP(1,0/((数据源!$A$2:$A$160=D5)*(数据源!$B$2:$B$160=D6)*(数据源!$C$2:$C$160=D7)),数据源!$G$2:$G$160)</f>
        <v>60</v>
      </c>
      <c r="E11" s="13">
        <f>LOOKUP(1,0/((数据源!$A$2:$A$160=E5)*(数据源!$B$2:$B$160=E6)*(数据源!$C$2:$C$160=E7)),数据源!$G$2:$G$160)</f>
        <v>60</v>
      </c>
      <c r="F11" s="13">
        <f>LOOKUP(1,0/((数据源!$A$2:$A$160=F5)*(数据源!$B$2:$B$160=F6)*(数据源!$C$2:$C$160=F7)),数据源!$G$2:$G$160)</f>
        <v>60</v>
      </c>
      <c r="G11" s="13">
        <f>LOOKUP(1,0/((数据源!$A$2:$A$160=G5)*(数据源!$B$2:$B$160=G6)*(数据源!$C$2:$C$160=G7)),数据源!$G$2:$G$160)</f>
        <v>60</v>
      </c>
      <c r="H11" s="13">
        <f>LOOKUP(1,0/((数据源!$A$2:$A$160=H5)*(数据源!$B$2:$B$160=H6)*(数据源!$C$2:$C$160=H7)),数据源!$G$2:$G$160)</f>
        <v>16</v>
      </c>
      <c r="I11" s="13">
        <f>LOOKUP(1,0/((数据源!$A$2:$A$160=I5)*(数据源!$B$2:$B$160=I6)*(数据源!$C$2:$C$160=I7)),数据源!$G$2:$G$160)</f>
        <v>60</v>
      </c>
      <c r="J11" s="13">
        <f>LOOKUP(1,0/((数据源!$A$2:$A$160=J5)*(数据源!$B$2:$B$160=J6)*(数据源!$C$2:$C$160=J7)),数据源!$G$2:$G$160)</f>
        <v>60</v>
      </c>
      <c r="K11" s="13">
        <f>LOOKUP(1,0/((数据源!$A$2:$A$160=K5)*(数据源!$B$2:$B$160=K6)*(数据源!$C$2:$C$160=K7)),数据源!$G$2:$G$160)</f>
        <v>60</v>
      </c>
      <c r="L11" s="13">
        <f>LOOKUP(1,0/((数据源!$A$2:$A$160=L5)*(数据源!$B$2:$B$160=L6)*(数据源!$C$2:$C$160=L7)),数据源!$G$2:$G$160)</f>
        <v>1000</v>
      </c>
      <c r="M11" s="13" t="e">
        <f>LOOKUP(1,0/((数据源!$A$2:$A$160=M5)*(数据源!$B$2:$B$160=M6)*(数据源!$C$2:$C$160=M7)),数据源!$G$2:$G$160)</f>
        <v>#N/A</v>
      </c>
      <c r="N11" s="13" t="e">
        <f>LOOKUP(1,0/((数据源!$A$2:$A$160=N5)*(数据源!$B$2:$B$160=N6)*(数据源!$C$2:$C$160=N7)),数据源!$G$2:$G$160)</f>
        <v>#N/A</v>
      </c>
      <c r="O11" s="13" t="e">
        <f>LOOKUP(1,0/((数据源!$A$2:$A$160=O5)*(数据源!$B$2:$B$160=O6)*(数据源!$C$2:$C$160=O7)),数据源!$G$2:$G$160)</f>
        <v>#N/A</v>
      </c>
      <c r="P11" s="13" t="e">
        <f>LOOKUP(1,0/((数据源!$A$2:$A$160=P5)*(数据源!$B$2:$B$160=P6)*(数据源!$C$2:$C$160=P7)),数据源!$G$2:$G$160)</f>
        <v>#N/A</v>
      </c>
      <c r="Q11" s="13">
        <f>LOOKUP(1,0/((数据源!$A$2:$A$160=Q5)*(数据源!$B$2:$B$160=Q6)*(数据源!$C$2:$C$160=Q7)),数据源!$G$2:$G$160)</f>
        <v>1000</v>
      </c>
      <c r="R11" s="13">
        <f>LOOKUP(1,0/((数据源!$A$2:$A$160=R5)*(数据源!$B$2:$B$160=R6)*(数据源!$C$2:$C$160=R7)),数据源!$G$2:$G$160)</f>
        <v>1000</v>
      </c>
      <c r="S11" s="44"/>
      <c r="T11" s="44"/>
      <c r="U11" s="44"/>
      <c r="V11" s="44"/>
      <c r="W11" s="44"/>
      <c r="X11" s="44"/>
      <c r="Y11" s="44"/>
    </row>
    <row r="12" spans="1:25" ht="17.25" thickTop="1" x14ac:dyDescent="0.15">
      <c r="A12" s="48">
        <f>M23</f>
        <v>-98.01457471969124</v>
      </c>
      <c r="B12" s="31" t="s">
        <v>5</v>
      </c>
      <c r="C12" s="32" t="s">
        <v>1</v>
      </c>
      <c r="D12" s="14">
        <f>IF(AND(D4&lt;&gt;FALSE,D8&lt;&gt;""),D8,"")</f>
        <v>-1.1000000000000001</v>
      </c>
      <c r="E12" s="11">
        <f>IF(OR($D$4:E$4)=FALSE,"",IF(E$4=FALSE,D12,IF(OR($D$4:D4)=FALSE,E8,E8+D12)))</f>
        <v>-3.2</v>
      </c>
      <c r="F12" s="11">
        <f>IF(OR($D$4:F$4)=FALSE,"",IF(F$4=FALSE,E12,IF(OR($D$4:E4)=FALSE,F8,F8+E12)))</f>
        <v>-4.3000000000000007</v>
      </c>
      <c r="G12" s="11">
        <f>IF(OR($D$4:G$4)=FALSE,"",IF(G$4=FALSE,F12,IF(OR($D$4:F4)=FALSE,G8,G8+F12)))</f>
        <v>51.7</v>
      </c>
      <c r="H12" s="11">
        <f>IF(OR($D$4:H$4)=FALSE,"",IF(H$4=FALSE,G12,IF(OR($D$4:G4)=FALSE,H8,H8+G12)))</f>
        <v>51.7</v>
      </c>
      <c r="I12" s="11">
        <f>IF(OR($D$4:I$4)=FALSE,"",IF(I$4=FALSE,H12,IF(OR($D$4:H4)=FALSE,I8,I8+H12)))</f>
        <v>51.7</v>
      </c>
      <c r="J12" s="11">
        <f>IF(OR($D$4:J$4)=FALSE,"",IF(J$4=FALSE,I12,IF(OR($D$4:I4)=FALSE,J8,J8+I12)))</f>
        <v>51.7</v>
      </c>
      <c r="K12" s="11">
        <f>IF(OR($D$4:K$4)=FALSE,"",IF(K$4=FALSE,J12,IF(OR($D$4:J4)=FALSE,K8,K8+J12)))</f>
        <v>51.7</v>
      </c>
      <c r="L12" s="11">
        <f>IF(OR($D$4:L$4)=FALSE,"",IF(L$4=FALSE,K12,IF(OR($D$4:K4)=FALSE,L8,L8+K12)))</f>
        <v>51.7</v>
      </c>
      <c r="M12" s="11">
        <f>IF(OR($D$4:M$4)=FALSE,"",IF(M$4=FALSE,L12,IF(OR($D$4:L4)=FALSE,M8,M8+L12)))</f>
        <v>51.7</v>
      </c>
      <c r="N12" s="11">
        <f>IF(OR($D$4:N$4)=FALSE,"",IF(N$4=FALSE,M12,IF(OR($D$4:M4)=FALSE,N8,N8+M12)))</f>
        <v>51.7</v>
      </c>
      <c r="O12" s="11">
        <f>IF(OR($D$4:O$4)=FALSE,"",IF(O$4=FALSE,N12,IF(OR($D$4:N4)=FALSE,O8,O8+N12)))</f>
        <v>51.7</v>
      </c>
      <c r="P12" s="11">
        <f>IF(OR($D$4:P$4)=FALSE,"",IF(P$4=FALSE,O12,IF(OR($D$4:O4)=FALSE,P8,P8+O12)))</f>
        <v>51.7</v>
      </c>
      <c r="Q12" s="11">
        <f>IF(OR($D$4:Q$4)=FALSE,"",IF(Q$4=FALSE,P12,IF(OR($D$4:P4)=FALSE,Q8,Q8+P12)))</f>
        <v>51.7</v>
      </c>
      <c r="R12" s="11">
        <f>IF(OR($D$4:R$4)=FALSE,"",IF(R$4=FALSE,Q12,IF(OR($D$4:Q4)=FALSE,R8,R8+Q12)))</f>
        <v>51.7</v>
      </c>
      <c r="S12" s="44"/>
      <c r="T12" s="44"/>
      <c r="U12" s="44"/>
      <c r="V12" s="44"/>
      <c r="W12" s="44"/>
      <c r="X12" s="44"/>
      <c r="Y12" s="44"/>
    </row>
    <row r="13" spans="1:25" x14ac:dyDescent="0.15">
      <c r="A13" s="6"/>
      <c r="B13" s="33" t="s">
        <v>6</v>
      </c>
      <c r="C13" s="34" t="s">
        <v>1</v>
      </c>
      <c r="D13" s="12">
        <f>IF(AND(D4&lt;&gt;FALSE,D9&lt;&gt;""),D9,"")</f>
        <v>1.1000000000000001</v>
      </c>
      <c r="E13" s="10">
        <f>IF(OR($D$4:E$4)=FALSE,"",IF(E$4=FALSE,D13,IF(OR($D$4:D$4)=FALSE,E9,10*LOG(10^(D13/10)+(10^(E9/10)-1)/10^(D12/10)))))</f>
        <v>3.2</v>
      </c>
      <c r="F13" s="10">
        <f>IF(OR($D$4:F$4)=FALSE,"",IF(F$4=FALSE,E13,IF(OR($D$4:E$4)=FALSE,F9,10*LOG(10^(E13/10)+(10^(F9/10)-1)/10^(E12/10)))))</f>
        <v>4.3000000000000007</v>
      </c>
      <c r="G13" s="10">
        <f>IF(OR($D$4:G$4)=FALSE,"",IF(G$4=FALSE,F13,IF(OR($D$4:F$4)=FALSE,G9,10*LOG(10^(F13/10)+(10^(G9/10)-1)/10^(F12/10)))))</f>
        <v>7.3000000000000025</v>
      </c>
      <c r="H13" s="10">
        <f>IF(OR($D$4:H$4)=FALSE,"",IF(H$4=FALSE,G13,IF(OR($D$4:G$4)=FALSE,H9,10*LOG(10^(G13/10)+(10^(H9/10)-1)/10^(G12/10)))))</f>
        <v>7.3000000000000025</v>
      </c>
      <c r="I13" s="10">
        <f>IF(OR($D$4:I$4)=FALSE,"",IF(I$4=FALSE,H13,IF(OR($D$4:H$4)=FALSE,I9,10*LOG(10^(H13/10)+(10^(I9/10)-1)/10^(H12/10)))))</f>
        <v>7.3000000000000025</v>
      </c>
      <c r="J13" s="10">
        <f>IF(OR($D$4:J$4)=FALSE,"",IF(J$4=FALSE,I13,IF(OR($D$4:I$4)=FALSE,J9,10*LOG(10^(I13/10)+(10^(J9/10)-1)/10^(I12/10)))))</f>
        <v>7.3000000000000025</v>
      </c>
      <c r="K13" s="10">
        <f>IF(OR($D$4:K$4)=FALSE,"",IF(K$4=FALSE,J13,IF(OR($D$4:J$4)=FALSE,K9,10*LOG(10^(J13/10)+(10^(K9/10)-1)/10^(J12/10)))))</f>
        <v>7.3000000000000025</v>
      </c>
      <c r="L13" s="10">
        <f>IF(OR($D$4:L$4)=FALSE,"",IF(L$4=FALSE,K13,IF(OR($D$4:K$4)=FALSE,L9,10*LOG(10^(K13/10)+(10^(L9/10)-1)/10^(K12/10)))))</f>
        <v>7.3000000000000025</v>
      </c>
      <c r="M13" s="10">
        <f>IF(OR($D$4:M$4)=FALSE,"",IF(M$4=FALSE,L13,IF(OR($D$4:L$4)=FALSE,M9,10*LOG(10^(L13/10)+(10^(M9/10)-1)/10^(L12/10)))))</f>
        <v>7.3000000000000025</v>
      </c>
      <c r="N13" s="10">
        <f>IF(OR($D$4:N$4)=FALSE,"",IF(N$4=FALSE,M13,IF(OR($D$4:M$4)=FALSE,N9,10*LOG(10^(M13/10)+(10^(N9/10)-1)/10^(M12/10)))))</f>
        <v>7.3000000000000025</v>
      </c>
      <c r="O13" s="10">
        <f>IF(OR($D$4:O$4)=FALSE,"",IF(O$4=FALSE,N13,IF(OR($D$4:N$4)=FALSE,O9,10*LOG(10^(N13/10)+(10^(O9/10)-1)/10^(N12/10)))))</f>
        <v>7.3000000000000025</v>
      </c>
      <c r="P13" s="10">
        <f>IF(OR($D$4:P$4)=FALSE,"",IF(P$4=FALSE,O13,IF(OR($D$4:O$4)=FALSE,P9,10*LOG(10^(O13/10)+(10^(P9/10)-1)/10^(O12/10)))))</f>
        <v>7.3000000000000025</v>
      </c>
      <c r="Q13" s="10">
        <f>IF(OR($D$4:Q$4)=FALSE,"",IF(Q$4=FALSE,P13,IF(OR($D$4:P$4)=FALSE,Q9,10*LOG(10^(P13/10)+(10^(Q9/10)-1)/10^(P12/10)))))</f>
        <v>7.3000000000000025</v>
      </c>
      <c r="R13" s="10">
        <f>IF(OR($D$4:R$4)=FALSE,"",IF(R$4=FALSE,Q13,IF(OR($D$4:Q$4)=FALSE,R9,10*LOG(10^(Q13/10)+(10^(R9/10)-1)/10^(Q12/10)))))</f>
        <v>7.3000000000000025</v>
      </c>
      <c r="S13" s="6"/>
      <c r="T13" s="6"/>
      <c r="U13" s="6"/>
      <c r="V13" s="6"/>
    </row>
    <row r="14" spans="1:25" x14ac:dyDescent="0.15">
      <c r="A14" s="6"/>
      <c r="B14" s="33" t="s">
        <v>7</v>
      </c>
      <c r="C14" s="34" t="s">
        <v>3</v>
      </c>
      <c r="D14" s="12">
        <f>IF(AND(D4&lt;&gt;FALSE,D10&lt;&gt;""),D10,"")</f>
        <v>60</v>
      </c>
      <c r="E14" s="10">
        <f>IF(OR($D$4:E$4)=FALSE,"",IF(E$4=FALSE,D14,IF(OR($D$4:D$4)=FALSE,E10,10*LOG(1/(1/10^(E10/10)+1/(10^(D14/10)*10^(E8/10)))))))</f>
        <v>55.813987682736638</v>
      </c>
      <c r="F14" s="10">
        <f>IF(OR($D$4:F$4)=FALSE,"",IF(F$4=FALSE,E14,IF(OR($D$4:E$4)=FALSE,F10,10*LOG(1/(1/10^(F10/10)+1/(10^(E14/10)*10^(F8/10)))))))</f>
        <v>53.587693130744114</v>
      </c>
      <c r="G14" s="10">
        <f>IF(OR($D$4:G$4)=FALSE,"",IF(G$4=FALSE,F14,IF(OR($D$4:F$4)=FALSE,G10,10*LOG(1/(1/10^(G10/10)+1/(10^(F14/10)*10^(G8/10)))))))</f>
        <v>59.999952245686018</v>
      </c>
      <c r="H14" s="10">
        <f>IF(OR($D$4:H$4)=FALSE,"",IF(H$4=FALSE,G14,IF(OR($D$4:G$4)=FALSE,H10,10*LOG(1/(1/10^(H10/10)+1/(10^(G14/10)*10^(H8/10)))))))</f>
        <v>59.999952245686018</v>
      </c>
      <c r="I14" s="10">
        <f>IF(OR($D$4:I$4)=FALSE,"",IF(I$4=FALSE,H14,IF(OR($D$4:H$4)=FALSE,I10,10*LOG(1/(1/10^(I10/10)+1/(10^(H14/10)*10^(I8/10)))))))</f>
        <v>59.999952245686018</v>
      </c>
      <c r="J14" s="10">
        <f>IF(OR($D$4:J$4)=FALSE,"",IF(J$4=FALSE,I14,IF(OR($D$4:I$4)=FALSE,J10,10*LOG(1/(1/10^(J10/10)+1/(10^(I14/10)*10^(J8/10)))))))</f>
        <v>59.999952245686018</v>
      </c>
      <c r="K14" s="10">
        <f>IF(OR($D$4:K$4)=FALSE,"",IF(K$4=FALSE,J14,IF(OR($D$4:J$4)=FALSE,K10,10*LOG(1/(1/10^(K10/10)+1/(10^(J14/10)*10^(K8/10)))))))</f>
        <v>59.999952245686018</v>
      </c>
      <c r="L14" s="10">
        <f>IF(OR($D$4:L$4)=FALSE,"",IF(L$4=FALSE,K14,IF(OR($D$4:K$4)=FALSE,L10,10*LOG(1/(1/10^(L10/10)+1/(10^(K14/10)*10^(L8/10)))))))</f>
        <v>59.999952245686018</v>
      </c>
      <c r="M14" s="10">
        <f>IF(OR($D$4:M$4)=FALSE,"",IF(M$4=FALSE,L14,IF(OR($D$4:L$4)=FALSE,M10,10*LOG(1/(1/10^(M10/10)+1/(10^(L14/10)*10^(M8/10)))))))</f>
        <v>59.999952245686018</v>
      </c>
      <c r="N14" s="10">
        <f>IF(OR($D$4:N$4)=FALSE,"",IF(N$4=FALSE,M14,IF(OR($D$4:M$4)=FALSE,N10,10*LOG(1/(1/10^(N10/10)+1/(10^(M14/10)*10^(N8/10)))))))</f>
        <v>59.999952245686018</v>
      </c>
      <c r="O14" s="10">
        <f>IF(OR($D$4:O$4)=FALSE,"",IF(O$4=FALSE,N14,IF(OR($D$4:N$4)=FALSE,O10,10*LOG(1/(1/10^(O10/10)+1/(10^(N14/10)*10^(O8/10)))))))</f>
        <v>59.999952245686018</v>
      </c>
      <c r="P14" s="10">
        <f>IF(OR($D$4:P$4)=FALSE,"",IF(P$4=FALSE,O14,IF(OR($D$4:O$4)=FALSE,P10,10*LOG(1/(1/10^(P10/10)+1/(10^(O14/10)*10^(P8/10)))))))</f>
        <v>59.999952245686018</v>
      </c>
      <c r="Q14" s="10">
        <f>IF(OR($D$4:Q$4)=FALSE,"",IF(Q$4=FALSE,P14,IF(OR($D$4:P$4)=FALSE,Q10,10*LOG(1/(1/10^(Q10/10)+1/(10^(P14/10)*10^(Q8/10)))))))</f>
        <v>59.999952245686018</v>
      </c>
      <c r="R14" s="10">
        <f>IF(OR($D$4:R$4)=FALSE,"",IF(R$4=FALSE,Q14,IF(OR($D$4:Q$4)=FALSE,R10,10*LOG(1/(1/10^(R10/10)+1/(10^(Q14/10)*10^(R8/10)))))))</f>
        <v>59.999952245686018</v>
      </c>
      <c r="S14" s="6"/>
      <c r="T14" s="6"/>
      <c r="U14" s="6"/>
      <c r="V14" s="6"/>
    </row>
    <row r="15" spans="1:25" ht="17.25" thickBot="1" x14ac:dyDescent="0.2">
      <c r="A15" s="6"/>
      <c r="B15" s="35" t="s">
        <v>36</v>
      </c>
      <c r="C15" s="36" t="s">
        <v>3</v>
      </c>
      <c r="D15" s="22">
        <f>IF(AND(D4&lt;&gt;FALSE,D11&lt;&gt;""),D11,"")</f>
        <v>60</v>
      </c>
      <c r="E15" s="16">
        <f>IF(OR($D$4:E$4)=FALSE,"",IF(E$4=FALSE,D15,IF(OR($D$4:D$4)=FALSE,E11,10*LOG(1/(1/10^(E11/10)+1/(10^(D15/10)*10^(E8/10)))))))</f>
        <v>55.813987682736638</v>
      </c>
      <c r="F15" s="16">
        <f>IF(OR($D$4:F$4)=FALSE,"",IF(F$4=FALSE,E15,IF(OR($D$4:E$4)=FALSE,F11,10*LOG(1/(1/10^(F11/10)+1/(10^(E15/10)*10^(F8/10)))))))</f>
        <v>53.587693130744114</v>
      </c>
      <c r="G15" s="16">
        <f>IF(OR($D$4:G$4)=FALSE,"",IF(G$4=FALSE,F15,IF(OR($D$4:F$4)=FALSE,G11,10*LOG(1/(1/10^(G11/10)+1/(10^(F15/10)*10^(G8/10)))))))</f>
        <v>59.999952245686018</v>
      </c>
      <c r="H15" s="16">
        <f>IF(OR($D$4:H$4)=FALSE,"",IF(H$4=FALSE,G15,IF(OR($D$4:G$4)=FALSE,H11,10*LOG(1/(1/10^(H11/10)+1/(10^(G15/10)*10^(H8/10)))))))</f>
        <v>59.999952245686018</v>
      </c>
      <c r="I15" s="16">
        <f>IF(OR($D$4:I$4)=FALSE,"",IF(I$4=FALSE,H15,IF(OR($D$4:H$4)=FALSE,I11,10*LOG(1/(1/10^(I11/10)+1/(10^(H15/10)*10^(I8/10)))))))</f>
        <v>59.999952245686018</v>
      </c>
      <c r="J15" s="16">
        <f>IF(OR($D$4:J$4)=FALSE,"",IF(J$4=FALSE,I15,IF(OR($D$4:I$4)=FALSE,J11,10*LOG(1/(1/10^(J11/10)+1/(10^(I15/10)*10^(J8/10)))))))</f>
        <v>59.999952245686018</v>
      </c>
      <c r="K15" s="16">
        <f>IF(OR($D$4:K$4)=FALSE,"",IF(K$4=FALSE,J15,IF(OR($D$4:J$4)=FALSE,K11,10*LOG(1/(1/10^(K11/10)+1/(10^(J15/10)*10^(K8/10)))))))</f>
        <v>59.999952245686018</v>
      </c>
      <c r="L15" s="16">
        <f>IF(OR($D$4:L$4)=FALSE,"",IF(L$4=FALSE,K15,IF(OR($D$4:K$4)=FALSE,L11,10*LOG(1/(1/10^(L11/10)+1/(10^(K15/10)*10^(L8/10)))))))</f>
        <v>59.999952245686018</v>
      </c>
      <c r="M15" s="16">
        <f>IF(OR($D$4:M$4)=FALSE,"",IF(M$4=FALSE,L15,IF(OR($D$4:L$4)=FALSE,M11,10*LOG(1/(1/10^(M11/10)+1/(10^(L15/10)*10^(M8/10)))))))</f>
        <v>59.999952245686018</v>
      </c>
      <c r="N15" s="16">
        <f>IF(OR($D$4:N$4)=FALSE,"",IF(N$4=FALSE,M15,IF(OR($D$4:M$4)=FALSE,N11,10*LOG(1/(1/10^(N11/10)+1/(10^(M15/10)*10^(N8/10)))))))</f>
        <v>59.999952245686018</v>
      </c>
      <c r="O15" s="16">
        <f>IF(OR($D$4:O$4)=FALSE,"",IF(O$4=FALSE,N15,IF(OR($D$4:N$4)=FALSE,O11,10*LOG(1/(1/10^(O11/10)+1/(10^(N15/10)*10^(O8/10)))))))</f>
        <v>59.999952245686018</v>
      </c>
      <c r="P15" s="16">
        <f>IF(OR($D$4:P$4)=FALSE,"",IF(P$4=FALSE,O15,IF(OR($D$4:O$4)=FALSE,P11,10*LOG(1/(1/10^(P11/10)+1/(10^(O15/10)*10^(P8/10)))))))</f>
        <v>59.999952245686018</v>
      </c>
      <c r="Q15" s="16">
        <f>IF(OR($D$4:Q$4)=FALSE,"",IF(Q$4=FALSE,P15,IF(OR($D$4:P$4)=FALSE,Q11,10*LOG(1/(1/10^(Q11/10)+1/(10^(P15/10)*10^(Q8/10)))))))</f>
        <v>59.999952245686018</v>
      </c>
      <c r="R15" s="16">
        <f>IF(OR($D$4:R$4)=FALSE,"",IF(R$4=FALSE,Q15,IF(OR($D$4:Q$4)=FALSE,R11,10*LOG(1/(1/10^(R11/10)+1/(10^(Q15/10)*10^(R8/10)))))))</f>
        <v>59.999952245686018</v>
      </c>
      <c r="S15" s="6"/>
      <c r="T15" s="6"/>
      <c r="U15" s="6"/>
      <c r="V15" s="6"/>
    </row>
    <row r="16" spans="1:25" ht="17.25" thickTop="1" x14ac:dyDescent="0.15">
      <c r="A16" s="6"/>
      <c r="B16" s="37" t="s">
        <v>37</v>
      </c>
      <c r="C16" s="38" t="s">
        <v>3</v>
      </c>
      <c r="D16" s="14">
        <f>IF(AND(D4&lt;&gt;FALSE,G23&lt;&gt;""),G23,"")</f>
        <v>-50</v>
      </c>
      <c r="E16" s="11">
        <f>IF(OR($D$4:E$4)=FALSE,"",IF(E$4=FALSE,D16,IF(OR($D$4:D$4)=FALSE,$G$23,D17)))</f>
        <v>-51.1</v>
      </c>
      <c r="F16" s="11">
        <f>IF(OR($D$4:F$4)=FALSE,"",IF(F$4=FALSE,E16,IF(OR($D$4:E$4)=FALSE,$G$23,E17)))</f>
        <v>-53.2</v>
      </c>
      <c r="G16" s="11">
        <f>IF(OR($D$4:G$4)=FALSE,"",IF(G$4=FALSE,F16,IF(OR($D$4:F$4)=FALSE,$G$23,F17)))</f>
        <v>-54.300000000000004</v>
      </c>
      <c r="H16" s="11">
        <f>IF(OR($D$4:H$4)=FALSE,"",IF(H$4=FALSE,G16,IF(OR($D$4:G$4)=FALSE,$G$23,G17)))</f>
        <v>-54.300000000000004</v>
      </c>
      <c r="I16" s="11">
        <f>IF(OR($D$4:I$4)=FALSE,"",IF(I$4=FALSE,H16,IF(OR($D$4:H$4)=FALSE,$G$23,H17)))</f>
        <v>-54.300000000000004</v>
      </c>
      <c r="J16" s="11">
        <f>IF(OR($D$4:J$4)=FALSE,"",IF(J$4=FALSE,I16,IF(OR($D$4:I$4)=FALSE,$G$23,I17)))</f>
        <v>-54.300000000000004</v>
      </c>
      <c r="K16" s="11">
        <f>IF(OR($D$4:K$4)=FALSE,"",IF(K$4=FALSE,J16,IF(OR($D$4:J$4)=FALSE,$G$23,J17)))</f>
        <v>-54.300000000000004</v>
      </c>
      <c r="L16" s="11">
        <f>IF(OR($D$4:L$4)=FALSE,"",IF(L$4=FALSE,K16,IF(OR($D$4:K$4)=FALSE,$G$23,K17)))</f>
        <v>-54.300000000000004</v>
      </c>
      <c r="M16" s="11">
        <f>IF(OR($D$4:M$4)=FALSE,"",IF(M$4=FALSE,L16,IF(OR($D$4:L$4)=FALSE,$G$23,L17)))</f>
        <v>-54.300000000000004</v>
      </c>
      <c r="N16" s="11">
        <f>IF(OR($D$4:N$4)=FALSE,"",IF(N$4=FALSE,M16,IF(OR($D$4:M$4)=FALSE,$G$23,M17)))</f>
        <v>-54.300000000000004</v>
      </c>
      <c r="O16" s="11">
        <f>IF(OR($D$4:O$4)=FALSE,"",IF(O$4=FALSE,N16,IF(OR($D$4:N$4)=FALSE,$G$23,N17)))</f>
        <v>-54.300000000000004</v>
      </c>
      <c r="P16" s="11">
        <f>IF(OR($D$4:P$4)=FALSE,"",IF(P$4=FALSE,O16,IF(OR($D$4:O$4)=FALSE,$G$23,O17)))</f>
        <v>-54.300000000000004</v>
      </c>
      <c r="Q16" s="11">
        <f>IF(OR($D$4:Q$4)=FALSE,"",IF(Q$4=FALSE,P16,IF(OR($D$4:P$4)=FALSE,$G$23,P17)))</f>
        <v>-54.300000000000004</v>
      </c>
      <c r="R16" s="11">
        <f>IF(OR($D$4:R$4)=FALSE,"",IF(R$4=FALSE,Q16,IF(OR($D$4:Q$4)=FALSE,$G$23,Q17)))</f>
        <v>-54.300000000000004</v>
      </c>
      <c r="S16" s="6"/>
      <c r="T16" s="6"/>
      <c r="U16" s="6"/>
      <c r="V16" s="6"/>
    </row>
    <row r="17" spans="1:22" x14ac:dyDescent="0.15">
      <c r="A17" s="6"/>
      <c r="B17" s="25" t="s">
        <v>8</v>
      </c>
      <c r="C17" s="26" t="s">
        <v>3</v>
      </c>
      <c r="D17" s="12">
        <f>IF(AND(D4&lt;&gt;FALSE,D8&lt;&gt;"",D16&lt;&gt;""),D16+D8,"")</f>
        <v>-51.1</v>
      </c>
      <c r="E17" s="10">
        <f>IF(AND(E4&lt;&gt;FALSE,E16&lt;&gt;"",E16&lt;&gt;""),E8+E16,D17)</f>
        <v>-53.2</v>
      </c>
      <c r="F17" s="10">
        <f t="shared" ref="F17:M17" si="0">IF(AND(F4&lt;&gt;FALSE,F16&lt;&gt;"",F16&lt;&gt;""),F8+F16,E17)</f>
        <v>-54.300000000000004</v>
      </c>
      <c r="G17" s="10">
        <f t="shared" si="0"/>
        <v>1.6999999999999957</v>
      </c>
      <c r="H17" s="10">
        <f t="shared" si="0"/>
        <v>1.6999999999999957</v>
      </c>
      <c r="I17" s="10">
        <f t="shared" si="0"/>
        <v>1.6999999999999957</v>
      </c>
      <c r="J17" s="10">
        <f t="shared" si="0"/>
        <v>1.6999999999999957</v>
      </c>
      <c r="K17" s="10">
        <f t="shared" si="0"/>
        <v>1.6999999999999957</v>
      </c>
      <c r="L17" s="10">
        <f t="shared" si="0"/>
        <v>1.6999999999999957</v>
      </c>
      <c r="M17" s="10">
        <f t="shared" si="0"/>
        <v>1.6999999999999957</v>
      </c>
      <c r="N17" s="10">
        <f>IF(AND(N4&lt;&gt;FALSE,N16&lt;&gt;"",N16&lt;&gt;""),N8+N16,M17)</f>
        <v>1.6999999999999957</v>
      </c>
      <c r="O17" s="10">
        <f>IF(AND(O4&lt;&gt;FALSE,O16&lt;&gt;"",O16&lt;&gt;""),O8+O16,N17)</f>
        <v>1.6999999999999957</v>
      </c>
      <c r="P17" s="10">
        <f>IF(AND(P4&lt;&gt;FALSE,P16&lt;&gt;"",P16&lt;&gt;""),P8+P16,O17)</f>
        <v>1.6999999999999957</v>
      </c>
      <c r="Q17" s="10">
        <f>IF(AND(Q4&lt;&gt;FALSE,Q16&lt;&gt;"",Q16&lt;&gt;""),Q8+Q16,P17)</f>
        <v>1.6999999999999957</v>
      </c>
      <c r="R17" s="10">
        <f>IF(AND(R4&lt;&gt;FALSE,R16&lt;&gt;"",R16&lt;&gt;""),R8+R16,Q17)</f>
        <v>1.6999999999999957</v>
      </c>
      <c r="S17" s="6"/>
      <c r="T17" s="6"/>
      <c r="U17" s="6"/>
      <c r="V17" s="6"/>
    </row>
    <row r="18" spans="1:22" x14ac:dyDescent="0.15">
      <c r="A18" s="6"/>
      <c r="B18" s="27" t="s">
        <v>9</v>
      </c>
      <c r="C18" s="28" t="s">
        <v>1</v>
      </c>
      <c r="D18" s="12">
        <f>IF(AND(D4&lt;&gt;FALSE,D10&lt;&gt;"",D17&lt;&gt;""),D10-D17,"")</f>
        <v>111.1</v>
      </c>
      <c r="E18" s="10">
        <f>IF(AND(E4&lt;&gt;FALSE,E10&lt;&gt;"",E17&lt;&gt;""),E10-E17,D18)</f>
        <v>113.2</v>
      </c>
      <c r="F18" s="10">
        <f t="shared" ref="F18:M18" si="1">IF(AND(F4&lt;&gt;FALSE,F10&lt;&gt;"",F17&lt;&gt;""),F10-F17,E18)</f>
        <v>114.30000000000001</v>
      </c>
      <c r="G18" s="10">
        <f t="shared" si="1"/>
        <v>58.300000000000004</v>
      </c>
      <c r="H18" s="10">
        <f t="shared" si="1"/>
        <v>58.300000000000004</v>
      </c>
      <c r="I18" s="10">
        <f t="shared" si="1"/>
        <v>58.300000000000004</v>
      </c>
      <c r="J18" s="10">
        <f t="shared" si="1"/>
        <v>58.300000000000004</v>
      </c>
      <c r="K18" s="10">
        <f t="shared" si="1"/>
        <v>58.300000000000004</v>
      </c>
      <c r="L18" s="10">
        <f t="shared" si="1"/>
        <v>58.300000000000004</v>
      </c>
      <c r="M18" s="10" t="e">
        <f t="shared" si="1"/>
        <v>#N/A</v>
      </c>
      <c r="N18" s="10" t="e">
        <f>IF(AND(N4&lt;&gt;FALSE,N10&lt;&gt;"",N17&lt;&gt;""),N10-N17,M18)</f>
        <v>#N/A</v>
      </c>
      <c r="O18" s="10" t="e">
        <f>IF(AND(O4&lt;&gt;FALSE,O10&lt;&gt;"",O17&lt;&gt;""),O10-O17,N18)</f>
        <v>#N/A</v>
      </c>
      <c r="P18" s="10" t="e">
        <f>IF(AND(P4&lt;&gt;FALSE,P10&lt;&gt;"",P17&lt;&gt;""),P10-P17,O18)</f>
        <v>#N/A</v>
      </c>
      <c r="Q18" s="10" t="e">
        <f>IF(AND(Q4&lt;&gt;FALSE,Q10&lt;&gt;"",Q17&lt;&gt;""),Q10-Q17,P18)</f>
        <v>#N/A</v>
      </c>
      <c r="R18" s="10" t="e">
        <f>IF(AND(R4&lt;&gt;FALSE,R10&lt;&gt;"",R17&lt;&gt;""),R10-R17,Q18)</f>
        <v>#N/A</v>
      </c>
      <c r="S18" s="6"/>
      <c r="T18" s="6"/>
      <c r="U18" s="6"/>
      <c r="V18" s="6"/>
    </row>
    <row r="19" spans="1:22" x14ac:dyDescent="0.15">
      <c r="A19" s="6"/>
      <c r="B19" s="25" t="s">
        <v>10</v>
      </c>
      <c r="C19" s="26" t="s">
        <v>42</v>
      </c>
      <c r="D19" s="12">
        <f>IF(AND(D4&lt;&gt;FALSE,D15&lt;&gt;"",D17&lt;&gt;""),2*(D15-D17),"")</f>
        <v>222.2</v>
      </c>
      <c r="E19" s="10">
        <f>IF(AND(E4&lt;&gt;FALSE,E15&lt;&gt;"",E17&lt;&gt;""),2*(E15-E17),D19)</f>
        <v>218.02797536547328</v>
      </c>
      <c r="F19" s="10">
        <f>IF(AND(F4&lt;&gt;FALSE,F15&lt;&gt;"",F17&lt;&gt;""),2*(F15-F17),E19)</f>
        <v>215.77538626148822</v>
      </c>
      <c r="G19" s="10">
        <f>IF(AND(G4&lt;&gt;FALSE,G15&lt;&gt;"",G17&lt;&gt;""),2*(G15-G17),F19)</f>
        <v>116.59990449137204</v>
      </c>
      <c r="H19" s="10">
        <f>IF(AND(H4&lt;&gt;FALSE,H15&lt;&gt;"",H17&lt;&gt;""),2*(H15-H17),G19)</f>
        <v>116.59990449137204</v>
      </c>
      <c r="I19" s="10">
        <f t="shared" ref="I19:R19" si="2">IF(AND(I4&lt;&gt;FALSE,I15&lt;&gt;"",I17&lt;&gt;""),2*(I15-I17),H19)</f>
        <v>116.59990449137204</v>
      </c>
      <c r="J19" s="10">
        <f t="shared" si="2"/>
        <v>116.59990449137204</v>
      </c>
      <c r="K19" s="10">
        <f t="shared" si="2"/>
        <v>116.59990449137204</v>
      </c>
      <c r="L19" s="10">
        <f t="shared" si="2"/>
        <v>116.59990449137204</v>
      </c>
      <c r="M19" s="10">
        <f t="shared" si="2"/>
        <v>116.59990449137204</v>
      </c>
      <c r="N19" s="10">
        <f t="shared" si="2"/>
        <v>116.59990449137204</v>
      </c>
      <c r="O19" s="10">
        <f t="shared" si="2"/>
        <v>116.59990449137204</v>
      </c>
      <c r="P19" s="10">
        <f t="shared" si="2"/>
        <v>116.59990449137204</v>
      </c>
      <c r="Q19" s="10">
        <f t="shared" si="2"/>
        <v>116.59990449137204</v>
      </c>
      <c r="R19" s="10">
        <f t="shared" si="2"/>
        <v>116.59990449137204</v>
      </c>
      <c r="S19" s="6"/>
      <c r="T19" s="6"/>
      <c r="U19" s="6"/>
      <c r="V19" s="6"/>
    </row>
    <row r="20" spans="1:22" x14ac:dyDescent="0.15">
      <c r="A20" s="6"/>
      <c r="B20" s="39" t="s">
        <v>13</v>
      </c>
      <c r="C20" s="40" t="s">
        <v>1</v>
      </c>
      <c r="D20" s="12">
        <f>IF(AND(D4&lt;&gt;FALSE,D15&lt;&gt;"",D17&lt;&gt;"",$G$28&lt;&gt;""),-20.75+1.6*$G$28+2*(D17-D15),"")</f>
        <v>-226.95</v>
      </c>
      <c r="E20" s="10">
        <f>IF(AND(E4&lt;&gt;FALSE,E15&lt;&gt;"",E17&lt;&gt;"",$G$28&lt;&gt;""),-20.75+1.6*$G$28+2*(E17-E15),D20)</f>
        <v>-222.77797536547328</v>
      </c>
      <c r="F20" s="10">
        <f t="shared" ref="F20:M20" si="3">IF(AND(F4&lt;&gt;FALSE,F15&lt;&gt;"",F17&lt;&gt;"",$G$28&lt;&gt;""),-20.75+1.6*$G$28+2*(F17-F15),E20)</f>
        <v>-220.52538626148822</v>
      </c>
      <c r="G20" s="10">
        <f t="shared" si="3"/>
        <v>-121.34990449137204</v>
      </c>
      <c r="H20" s="10">
        <f t="shared" si="3"/>
        <v>-121.34990449137204</v>
      </c>
      <c r="I20" s="10">
        <f t="shared" si="3"/>
        <v>-121.34990449137204</v>
      </c>
      <c r="J20" s="10">
        <f t="shared" si="3"/>
        <v>-121.34990449137204</v>
      </c>
      <c r="K20" s="10">
        <f t="shared" si="3"/>
        <v>-121.34990449137204</v>
      </c>
      <c r="L20" s="10">
        <f t="shared" si="3"/>
        <v>-121.34990449137204</v>
      </c>
      <c r="M20" s="10">
        <f t="shared" si="3"/>
        <v>-121.34990449137204</v>
      </c>
      <c r="N20" s="10">
        <f>IF(AND(N4&lt;&gt;FALSE,N15&lt;&gt;"",N17&lt;&gt;"",$G$28&lt;&gt;""),-20.75+1.6*$G$28+2*(N17-N15),M20)</f>
        <v>-121.34990449137204</v>
      </c>
      <c r="O20" s="10">
        <f>IF(AND(O4&lt;&gt;FALSE,O15&lt;&gt;"",O17&lt;&gt;"",$G$28&lt;&gt;""),-20.75+1.6*$G$28+2*(O17-O15),N20)</f>
        <v>-121.34990449137204</v>
      </c>
      <c r="P20" s="10">
        <f>IF(AND(P4&lt;&gt;FALSE,P15&lt;&gt;"",P17&lt;&gt;"",$G$28&lt;&gt;""),-20.75+1.6*$G$28+2*(P17-P15),O20)</f>
        <v>-121.34990449137204</v>
      </c>
      <c r="Q20" s="10">
        <f>IF(AND(Q4&lt;&gt;FALSE,Q15&lt;&gt;"",Q17&lt;&gt;"",$G$28&lt;&gt;""),-20.75+1.6*$G$28+2*(Q17-Q15),P20)</f>
        <v>-121.34990449137204</v>
      </c>
      <c r="R20" s="10">
        <f>IF(AND(R4&lt;&gt;FALSE,R15&lt;&gt;"",R17&lt;&gt;"",$G$28&lt;&gt;""),-20.75+1.6*$G$28+2*(R17-R15),Q20)</f>
        <v>-121.34990449137204</v>
      </c>
      <c r="S20" s="6"/>
      <c r="T20" s="6"/>
      <c r="U20" s="6"/>
      <c r="V20" s="6"/>
    </row>
    <row r="21" spans="1:22" x14ac:dyDescent="0.1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</row>
    <row r="22" spans="1:22" x14ac:dyDescent="0.15">
      <c r="A22" s="6"/>
      <c r="B22" s="44"/>
      <c r="C22" s="44"/>
      <c r="D22" s="74" t="s">
        <v>11</v>
      </c>
      <c r="E22" s="74"/>
      <c r="F22" s="74"/>
      <c r="G22" s="74"/>
      <c r="H22" s="46"/>
      <c r="I22" s="68" t="s">
        <v>48</v>
      </c>
      <c r="J22" s="69"/>
      <c r="K22" s="69"/>
      <c r="L22" s="69"/>
      <c r="M22" s="70"/>
      <c r="N22" s="6"/>
      <c r="O22" s="65" t="s">
        <v>19</v>
      </c>
      <c r="P22" s="66"/>
      <c r="Q22" s="66"/>
      <c r="R22" s="67"/>
      <c r="S22" s="6"/>
      <c r="T22" s="6"/>
      <c r="U22" s="6"/>
      <c r="V22" s="6"/>
    </row>
    <row r="23" spans="1:22" x14ac:dyDescent="0.15">
      <c r="A23" s="6"/>
      <c r="B23" s="44"/>
      <c r="C23" s="44"/>
      <c r="D23" s="74" t="s">
        <v>37</v>
      </c>
      <c r="E23" s="74"/>
      <c r="F23" s="19" t="s">
        <v>3</v>
      </c>
      <c r="G23" s="20">
        <v>-50</v>
      </c>
      <c r="H23" s="6"/>
      <c r="I23" s="74" t="s">
        <v>16</v>
      </c>
      <c r="J23" s="74"/>
      <c r="K23" s="74"/>
      <c r="L23" s="19" t="s">
        <v>3</v>
      </c>
      <c r="M23" s="12">
        <f>IF(AND(G25&lt;&gt;"",G27&lt;&gt;"",G26&lt;&gt;""),10*LOG(1.3806505*10^(-20)*G25*10^6*G27)+LOOKUP(9E+307,13:13)+G26,"")</f>
        <v>-98.01457471969124</v>
      </c>
      <c r="N23" s="6"/>
      <c r="O23" s="71" t="s">
        <v>21</v>
      </c>
      <c r="P23" s="72"/>
      <c r="Q23" s="72"/>
      <c r="R23" s="73"/>
      <c r="S23" s="6"/>
      <c r="T23" s="6"/>
      <c r="U23" s="6"/>
      <c r="V23" s="6"/>
    </row>
    <row r="24" spans="1:22" x14ac:dyDescent="0.15">
      <c r="A24" s="6"/>
      <c r="B24" s="44"/>
      <c r="C24" s="44"/>
      <c r="D24" s="74" t="s">
        <v>14</v>
      </c>
      <c r="E24" s="74"/>
      <c r="F24" s="19" t="s">
        <v>1</v>
      </c>
      <c r="G24" s="20">
        <v>10</v>
      </c>
      <c r="H24" s="6"/>
      <c r="I24" s="74" t="s">
        <v>17</v>
      </c>
      <c r="J24" s="74"/>
      <c r="K24" s="74"/>
      <c r="L24" s="19" t="s">
        <v>49</v>
      </c>
      <c r="M24" s="12">
        <f>IF(AND(G27&lt;&gt;""),10*LOG(1.3806505*10^(-20)*G27)+LOOKUP(9E+307,13:13),"")</f>
        <v>-166.55699981408446</v>
      </c>
      <c r="N24" s="6"/>
      <c r="O24" s="71" t="s">
        <v>51</v>
      </c>
      <c r="P24" s="72"/>
      <c r="Q24" s="72"/>
      <c r="R24" s="73"/>
      <c r="S24" s="6"/>
      <c r="T24" s="6"/>
      <c r="U24" s="6"/>
      <c r="V24" s="6"/>
    </row>
    <row r="25" spans="1:22" x14ac:dyDescent="0.15">
      <c r="A25" s="6"/>
      <c r="B25" s="44"/>
      <c r="C25" s="44"/>
      <c r="D25" s="74" t="s">
        <v>43</v>
      </c>
      <c r="E25" s="74"/>
      <c r="F25" s="19" t="s">
        <v>25</v>
      </c>
      <c r="G25" s="20">
        <v>9</v>
      </c>
      <c r="H25" s="6"/>
      <c r="I25" s="74" t="s">
        <v>22</v>
      </c>
      <c r="J25" s="74"/>
      <c r="K25" s="74"/>
      <c r="L25" s="19" t="s">
        <v>20</v>
      </c>
      <c r="M25" s="12">
        <f>IF(AND(M24&lt;&gt;""),M24+LOOKUP(9E+307,12:12),"")</f>
        <v>-114.85699981408446</v>
      </c>
      <c r="N25" s="6"/>
      <c r="O25" s="71" t="s">
        <v>33</v>
      </c>
      <c r="P25" s="72"/>
      <c r="Q25" s="72"/>
      <c r="R25" s="73"/>
      <c r="S25" s="6"/>
      <c r="T25" s="6"/>
      <c r="U25" s="6"/>
      <c r="V25" s="6"/>
    </row>
    <row r="26" spans="1:22" x14ac:dyDescent="0.15">
      <c r="A26" s="6"/>
      <c r="B26" s="44"/>
      <c r="C26" s="44"/>
      <c r="D26" s="74" t="s">
        <v>44</v>
      </c>
      <c r="E26" s="74"/>
      <c r="F26" s="19" t="s">
        <v>1</v>
      </c>
      <c r="G26" s="20">
        <v>-1</v>
      </c>
      <c r="H26" s="6"/>
      <c r="I26" s="74" t="s">
        <v>15</v>
      </c>
      <c r="J26" s="74"/>
      <c r="K26" s="74"/>
      <c r="L26" s="19" t="s">
        <v>20</v>
      </c>
      <c r="M26" s="12">
        <f>IF(AND(G25&lt;&gt;"",G27&lt;&gt;""),10*LOG(1.3806505*10^(-20)*G25*10^6*G27)+LOOKUP(9E+307,13:13),"")</f>
        <v>-97.01457471969124</v>
      </c>
      <c r="N26" s="6"/>
      <c r="O26" s="71" t="s">
        <v>34</v>
      </c>
      <c r="P26" s="72"/>
      <c r="Q26" s="72"/>
      <c r="R26" s="73"/>
      <c r="S26" s="6"/>
      <c r="T26" s="6"/>
      <c r="U26" s="6"/>
      <c r="V26" s="6"/>
    </row>
    <row r="27" spans="1:22" x14ac:dyDescent="0.15">
      <c r="A27" s="6"/>
      <c r="B27" s="44"/>
      <c r="C27" s="44"/>
      <c r="D27" s="74" t="s">
        <v>45</v>
      </c>
      <c r="E27" s="74"/>
      <c r="F27" s="19" t="s">
        <v>46</v>
      </c>
      <c r="G27" s="20">
        <v>298</v>
      </c>
      <c r="H27" s="6"/>
      <c r="I27" s="74" t="s">
        <v>18</v>
      </c>
      <c r="J27" s="74"/>
      <c r="K27" s="74"/>
      <c r="L27" s="19" t="s">
        <v>20</v>
      </c>
      <c r="M27" s="12">
        <f>IF(AND(M26&lt;&gt;""),M26+LOOKUP(9E+307,12:12),"")</f>
        <v>-45.314574719691237</v>
      </c>
      <c r="N27" s="6"/>
      <c r="O27" s="71" t="s">
        <v>23</v>
      </c>
      <c r="P27" s="72"/>
      <c r="Q27" s="72"/>
      <c r="R27" s="73"/>
      <c r="S27" s="6"/>
      <c r="T27" s="6"/>
      <c r="U27" s="6"/>
      <c r="V27" s="6"/>
    </row>
    <row r="28" spans="1:22" x14ac:dyDescent="0.15">
      <c r="A28" s="6"/>
      <c r="B28" s="44"/>
      <c r="C28" s="44"/>
      <c r="D28" s="74" t="s">
        <v>12</v>
      </c>
      <c r="E28" s="74"/>
      <c r="F28" s="19" t="s">
        <v>1</v>
      </c>
      <c r="G28" s="20">
        <v>10</v>
      </c>
      <c r="H28" s="6"/>
      <c r="I28" s="74" t="s">
        <v>50</v>
      </c>
      <c r="J28" s="74"/>
      <c r="K28" s="74"/>
      <c r="L28" s="19" t="s">
        <v>1</v>
      </c>
      <c r="M28" s="12">
        <f>G23-M26</f>
        <v>47.01457471969124</v>
      </c>
      <c r="N28" s="6"/>
      <c r="O28" s="71" t="s">
        <v>35</v>
      </c>
      <c r="P28" s="72"/>
      <c r="Q28" s="72"/>
      <c r="R28" s="73"/>
      <c r="S28" s="6"/>
      <c r="T28" s="6"/>
      <c r="U28" s="6"/>
      <c r="V28" s="6"/>
    </row>
    <row r="29" spans="1:22" x14ac:dyDescent="0.15">
      <c r="A29" s="6"/>
      <c r="B29" s="44"/>
      <c r="C29" s="44"/>
      <c r="D29" s="74" t="s">
        <v>28</v>
      </c>
      <c r="E29" s="74"/>
      <c r="F29" s="19"/>
      <c r="G29" s="20" t="s">
        <v>116</v>
      </c>
      <c r="H29" s="47"/>
      <c r="I29" s="74" t="s">
        <v>27</v>
      </c>
      <c r="J29" s="74"/>
      <c r="K29" s="74"/>
      <c r="L29" s="19"/>
      <c r="M29" s="18" t="str">
        <f>IF(G29="是",IF(LOOKUP(9E+307,17:17)&gt;G31,"起控","未起控"),"无效")</f>
        <v>无效</v>
      </c>
      <c r="N29" s="6"/>
      <c r="O29" s="6"/>
      <c r="P29" s="6"/>
      <c r="Q29" s="6"/>
      <c r="R29" s="6"/>
      <c r="S29" s="6"/>
      <c r="T29" s="6"/>
      <c r="U29" s="6"/>
      <c r="V29" s="6"/>
    </row>
    <row r="30" spans="1:22" x14ac:dyDescent="0.15">
      <c r="A30" s="6"/>
      <c r="B30" s="6"/>
      <c r="C30" s="6"/>
      <c r="D30" s="74" t="s">
        <v>60</v>
      </c>
      <c r="E30" s="74"/>
      <c r="F30" s="19"/>
      <c r="G30" s="20">
        <v>6</v>
      </c>
      <c r="H30" s="6"/>
      <c r="I30" s="74" t="s">
        <v>32</v>
      </c>
      <c r="J30" s="74"/>
      <c r="K30" s="74"/>
      <c r="L30" s="19" t="s">
        <v>1</v>
      </c>
      <c r="M30" s="12">
        <f>LOOKUP(9E+307,17:17)-G31</f>
        <v>-15.300000000000004</v>
      </c>
      <c r="N30" s="6"/>
      <c r="O30" s="6"/>
      <c r="P30" s="6"/>
      <c r="Q30" s="6"/>
      <c r="R30" s="6"/>
      <c r="S30" s="6"/>
      <c r="T30" s="6"/>
      <c r="U30" s="6"/>
      <c r="V30" s="6"/>
    </row>
    <row r="31" spans="1:22" x14ac:dyDescent="0.15">
      <c r="A31" s="6"/>
      <c r="B31" s="6"/>
      <c r="C31" s="6"/>
      <c r="D31" s="74" t="s">
        <v>47</v>
      </c>
      <c r="E31" s="74"/>
      <c r="F31" s="19" t="s">
        <v>3</v>
      </c>
      <c r="G31" s="20">
        <v>17</v>
      </c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</row>
    <row r="32" spans="1:22" x14ac:dyDescent="0.15">
      <c r="A32" s="6"/>
      <c r="B32" s="6"/>
      <c r="C32" s="6"/>
      <c r="D32" s="6" t="s">
        <v>68</v>
      </c>
      <c r="E32" s="6"/>
      <c r="F32" s="6"/>
      <c r="G32" s="6">
        <v>65</v>
      </c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</row>
    <row r="33" spans="1:22" x14ac:dyDescent="0.15">
      <c r="A33" s="6"/>
      <c r="B33" s="6"/>
      <c r="C33" s="6"/>
      <c r="D33" s="44"/>
      <c r="E33" s="44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</row>
    <row r="34" spans="1:22" x14ac:dyDescent="0.15">
      <c r="A34" s="6"/>
      <c r="B34" s="6"/>
      <c r="C34" s="6"/>
      <c r="D34" s="44"/>
      <c r="E34" s="44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</row>
    <row r="35" spans="1:22" x14ac:dyDescent="0.15">
      <c r="A35" s="6"/>
      <c r="B35" s="6"/>
      <c r="C35" s="6"/>
      <c r="D35" s="44"/>
      <c r="E35" s="44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</row>
    <row r="36" spans="1:22" x14ac:dyDescent="0.15">
      <c r="C36" s="6"/>
      <c r="D36" s="44"/>
      <c r="E36" s="44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</row>
    <row r="37" spans="1:22" x14ac:dyDescent="0.15">
      <c r="D37" s="44"/>
      <c r="E37" s="44"/>
      <c r="F37" s="6"/>
      <c r="G37" s="6"/>
    </row>
    <row r="38" spans="1:22" x14ac:dyDescent="0.15">
      <c r="D38" s="44"/>
      <c r="E38" s="44"/>
    </row>
    <row r="39" spans="1:22" x14ac:dyDescent="0.15">
      <c r="D39" s="44"/>
      <c r="E39" s="44"/>
    </row>
  </sheetData>
  <mergeCells count="27">
    <mergeCell ref="B1:C3"/>
    <mergeCell ref="D22:G22"/>
    <mergeCell ref="I22:M22"/>
    <mergeCell ref="O22:R22"/>
    <mergeCell ref="D23:E23"/>
    <mergeCell ref="I23:K23"/>
    <mergeCell ref="O23:R23"/>
    <mergeCell ref="D24:E24"/>
    <mergeCell ref="I24:K24"/>
    <mergeCell ref="O24:R24"/>
    <mergeCell ref="D25:E25"/>
    <mergeCell ref="I25:K25"/>
    <mergeCell ref="O25:R25"/>
    <mergeCell ref="D26:E26"/>
    <mergeCell ref="I26:K26"/>
    <mergeCell ref="O26:R26"/>
    <mergeCell ref="D27:E27"/>
    <mergeCell ref="I27:K27"/>
    <mergeCell ref="O27:R27"/>
    <mergeCell ref="D31:E31"/>
    <mergeCell ref="D28:E28"/>
    <mergeCell ref="I28:K28"/>
    <mergeCell ref="O28:R28"/>
    <mergeCell ref="D29:E29"/>
    <mergeCell ref="I29:K29"/>
    <mergeCell ref="D30:E30"/>
    <mergeCell ref="I30:K30"/>
  </mergeCells>
  <phoneticPr fontId="16" type="noConversion"/>
  <conditionalFormatting sqref="D18:R18">
    <cfRule type="cellIs" dxfId="91" priority="11" operator="lessThan">
      <formula>$G24</formula>
    </cfRule>
  </conditionalFormatting>
  <conditionalFormatting sqref="D5:R11">
    <cfRule type="expression" dxfId="90" priority="10">
      <formula>D$4=FALSE</formula>
    </cfRule>
  </conditionalFormatting>
  <conditionalFormatting sqref="M29">
    <cfRule type="cellIs" dxfId="89" priority="8" operator="equal">
      <formula>"未起控"</formula>
    </cfRule>
    <cfRule type="cellIs" dxfId="88" priority="9" operator="equal">
      <formula>"起控"</formula>
    </cfRule>
  </conditionalFormatting>
  <conditionalFormatting sqref="D12:R20">
    <cfRule type="expression" dxfId="87" priority="3">
      <formula>D$4=FALSE</formula>
    </cfRule>
  </conditionalFormatting>
  <conditionalFormatting sqref="D4:I4 K4:R4">
    <cfRule type="cellIs" dxfId="86" priority="6" operator="equal">
      <formula>FALSE</formula>
    </cfRule>
    <cfRule type="cellIs" dxfId="85" priority="7" operator="equal">
      <formula>TRUE</formula>
    </cfRule>
  </conditionalFormatting>
  <conditionalFormatting sqref="J4">
    <cfRule type="cellIs" dxfId="84" priority="4" operator="equal">
      <formula>FALSE</formula>
    </cfRule>
    <cfRule type="cellIs" dxfId="83" priority="5" operator="equal">
      <formula>TRUE</formula>
    </cfRule>
  </conditionalFormatting>
  <conditionalFormatting sqref="N13">
    <cfRule type="expression" dxfId="82" priority="1" stopIfTrue="1">
      <formula>$H$24&lt;0</formula>
    </cfRule>
    <cfRule type="expression" dxfId="81" priority="2">
      <formula>$H$24&gt;0</formula>
    </cfRule>
  </conditionalFormatting>
  <dataValidations count="22">
    <dataValidation type="list" allowBlank="1" showInputMessage="1" showErrorMessage="1" sqref="R5">
      <formula1>种类</formula1>
    </dataValidation>
    <dataValidation type="list" allowBlank="1" showInputMessage="1" showErrorMessage="1" sqref="D7:R7">
      <formula1>频率</formula1>
    </dataValidation>
    <dataValidation type="list" allowBlank="1" showInputMessage="1" showErrorMessage="1" sqref="Q5">
      <formula1>"衰减器,放大器,LNA,混频器,LC滤波器,声表滤波器,隔离器,双工器,,"</formula1>
    </dataValidation>
    <dataValidation type="list" allowBlank="1" showInputMessage="1" showErrorMessage="1" sqref="Q6:R6">
      <formula1>"8dB,5dB,2dB,pe4302,0Ω,hsmp-3814,"</formula1>
    </dataValidation>
    <dataValidation type="list" allowBlank="1" showInputMessage="1" showErrorMessage="1" sqref="P6">
      <formula1>"射频声表,"</formula1>
    </dataValidation>
    <dataValidation type="list" allowBlank="1" showInputMessage="1" showErrorMessage="1" sqref="F29">
      <formula1>#REF!</formula1>
    </dataValidation>
    <dataValidation type="list" allowBlank="1" showInputMessage="1" showErrorMessage="1" sqref="G29">
      <formula1>"是,否"</formula1>
    </dataValidation>
    <dataValidation type="whole" allowBlank="1" showInputMessage="1" showErrorMessage="1" sqref="G23">
      <formula1>-90</formula1>
      <formula2>10</formula2>
    </dataValidation>
    <dataValidation type="list" allowBlank="1" showInputMessage="1" showErrorMessage="1" sqref="L5:P5">
      <formula1>"衰减器,放大器,LNA,混频器,LC滤波器,声表滤波器,隔离器,多工器,双工器,开关,"</formula1>
    </dataValidation>
    <dataValidation type="list" allowBlank="1" showInputMessage="1" showErrorMessage="1" sqref="O6">
      <formula1>"AS186-302,"</formula1>
    </dataValidation>
    <dataValidation type="list" allowBlank="1" showInputMessage="1" showErrorMessage="1" sqref="L6">
      <formula1>"8dB,6dB,5dB,2dB,pe4302,0Ω,hsmp3866_0,hsmp3866_10,hsmp3866_20,"</formula1>
    </dataValidation>
    <dataValidation type="list" allowBlank="1" showInputMessage="1" showErrorMessage="1" sqref="M6:N6">
      <formula1>"mga43528,mga43628,PW210,PW290,SGA6389,BG18C,PNH15,AH1,AH102,SKY65162-70LF,SXB-4089,ECG003,"</formula1>
    </dataValidation>
    <dataValidation type="list" allowBlank="1" showInputMessage="1" showErrorMessage="1" sqref="F6">
      <formula1>"SPF5043Z,ATF54143,MXD8015H,"</formula1>
    </dataValidation>
    <dataValidation type="list" allowBlank="1" showInputMessage="1" showErrorMessage="1" sqref="I6">
      <formula1>"est.,"</formula1>
    </dataValidation>
    <dataValidation type="list" allowBlank="1" showInputMessage="1" showErrorMessage="1" sqref="K5">
      <formula1>"衰减器,放大器,LNA,,混频器,LC滤波器,声表滤波器,隔离器,多工器,双工器,开关,Cable,Diplexer,Duplexer,Trace loss,Tranceiver,"</formula1>
    </dataValidation>
    <dataValidation type="list" allowBlank="1" showInputMessage="1" showErrorMessage="1" sqref="J6:K6">
      <formula1>"WTR3925,"</formula1>
    </dataValidation>
    <dataValidation type="list" allowBlank="1" showInputMessage="1" showErrorMessage="1" sqref="H5">
      <formula1>"衰减器,放大器,LNA,混频器,LC滤波器,声表滤波器,隔离器,多工器,双工器,开关,Cable,Diplexer,Duplexer,balun,Trace loss,Tranceiver,Filter,Switcher,Tx module,Multiplexer,"</formula1>
    </dataValidation>
    <dataValidation type="list" allowBlank="1" showInputMessage="1" showErrorMessage="1" sqref="H6">
      <formula1>"RTC8612H,AS186-302,QFE1045,QFE1040,QFE1035,"</formula1>
    </dataValidation>
    <dataValidation type="list" allowBlank="1" showInputMessage="1" showErrorMessage="1" sqref="I5:J5 D5:G5">
      <formula1>"衰减器,放大器,混频器,LC滤波器,声表滤波器,隔离器,多工器,双工器,Cable,Diplexer,Duplexer,balun,Trace loss,Tranceiver,Filter,Switcher,Tx module,Multiplexer,LNA,PA,"</formula1>
    </dataValidation>
    <dataValidation type="list" allowBlank="1" showInputMessage="1" showErrorMessage="1" sqref="D6">
      <formula1>"QM57508,RF5212A,"</formula1>
    </dataValidation>
    <dataValidation type="list" allowBlank="1" showInputMessage="1" showErrorMessage="1" sqref="E6">
      <formula1>"SAYEY1G95GA0F0A(B1),SAYEY1G74BC0B0A(B3),SFX836CYA02(B5),SAYEY2G53BC0F0A(B7),SAYEY2G53BA0F0A(B7),SAYEY897MBG0F0A(B8),SAYEY897MBA0B0A(B8),SAYEY806MBA0F0A(B20),SAYEY806MBC0F0A(B20),SFX718BYJ02(B28A),SFX733BYJ02(B28B),"</formula1>
    </dataValidation>
    <dataValidation type="list" allowBlank="1" showInputMessage="1" showErrorMessage="1" sqref="G6">
      <formula1>"WTR3925,WTR2965,"</formula1>
    </dataValidation>
  </dataValidations>
  <pageMargins left="0.7" right="0.7" top="0.75" bottom="0.75" header="0.3" footer="0.3"/>
  <pageSetup paperSize="9" scale="49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87097" r:id="rId4" name="交换">
          <controlPr autoLine="0" r:id="rId5">
            <anchor moveWithCells="1">
              <from>
                <xdr:col>0</xdr:col>
                <xdr:colOff>66675</xdr:colOff>
                <xdr:row>2</xdr:row>
                <xdr:rowOff>200025</xdr:rowOff>
              </from>
              <to>
                <xdr:col>1</xdr:col>
                <xdr:colOff>0</xdr:colOff>
                <xdr:row>4</xdr:row>
                <xdr:rowOff>57150</xdr:rowOff>
              </to>
            </anchor>
          </controlPr>
        </control>
      </mc:Choice>
      <mc:Fallback>
        <control shapeId="87097" r:id="rId4" name="交换"/>
      </mc:Fallback>
    </mc:AlternateContent>
    <mc:AlternateContent xmlns:mc="http://schemas.openxmlformats.org/markup-compatibility/2006">
      <mc:Choice Requires="x14">
        <control shapeId="87098" r:id="rId6" name="stage2">
          <controlPr autoLine="0" r:id="rId7">
            <anchor moveWithCells="1">
              <from>
                <xdr:col>0</xdr:col>
                <xdr:colOff>66675</xdr:colOff>
                <xdr:row>5</xdr:row>
                <xdr:rowOff>104775</xdr:rowOff>
              </from>
              <to>
                <xdr:col>1</xdr:col>
                <xdr:colOff>0</xdr:colOff>
                <xdr:row>6</xdr:row>
                <xdr:rowOff>76200</xdr:rowOff>
              </to>
            </anchor>
          </controlPr>
        </control>
      </mc:Choice>
      <mc:Fallback>
        <control shapeId="87098" r:id="rId6" name="stage2"/>
      </mc:Fallback>
    </mc:AlternateContent>
    <mc:AlternateContent xmlns:mc="http://schemas.openxmlformats.org/markup-compatibility/2006">
      <mc:Choice Requires="x14">
        <control shapeId="87099" r:id="rId8" name="stage_num_set">
          <controlPr autoLine="0" r:id="rId9">
            <anchor moveWithCells="1">
              <from>
                <xdr:col>0</xdr:col>
                <xdr:colOff>66675</xdr:colOff>
                <xdr:row>8</xdr:row>
                <xdr:rowOff>38100</xdr:rowOff>
              </from>
              <to>
                <xdr:col>1</xdr:col>
                <xdr:colOff>0</xdr:colOff>
                <xdr:row>9</xdr:row>
                <xdr:rowOff>114300</xdr:rowOff>
              </to>
            </anchor>
          </controlPr>
        </control>
      </mc:Choice>
      <mc:Fallback>
        <control shapeId="87099" r:id="rId8" name="stage_num_set"/>
      </mc:Fallback>
    </mc:AlternateContent>
    <mc:AlternateContent xmlns:mc="http://schemas.openxmlformats.org/markup-compatibility/2006">
      <mc:Choice Requires="x14">
        <control shapeId="87100" r:id="rId10" name="stage_num">
          <controlPr autoLine="0" r:id="rId11">
            <anchor moveWithCells="1">
              <from>
                <xdr:col>0</xdr:col>
                <xdr:colOff>66675</xdr:colOff>
                <xdr:row>9</xdr:row>
                <xdr:rowOff>114300</xdr:rowOff>
              </from>
              <to>
                <xdr:col>1</xdr:col>
                <xdr:colOff>0</xdr:colOff>
                <xdr:row>10</xdr:row>
                <xdr:rowOff>152400</xdr:rowOff>
              </to>
            </anchor>
          </controlPr>
        </control>
      </mc:Choice>
      <mc:Fallback>
        <control shapeId="87100" r:id="rId10" name="stage_num"/>
      </mc:Fallback>
    </mc:AlternateContent>
    <mc:AlternateContent xmlns:mc="http://schemas.openxmlformats.org/markup-compatibility/2006">
      <mc:Choice Requires="x14">
        <control shapeId="87101" r:id="rId12" name="stage1">
          <controlPr autoLine="0" r:id="rId13">
            <anchor moveWithCells="1">
              <from>
                <xdr:col>0</xdr:col>
                <xdr:colOff>66675</xdr:colOff>
                <xdr:row>4</xdr:row>
                <xdr:rowOff>57150</xdr:rowOff>
              </from>
              <to>
                <xdr:col>1</xdr:col>
                <xdr:colOff>0</xdr:colOff>
                <xdr:row>5</xdr:row>
                <xdr:rowOff>104775</xdr:rowOff>
              </to>
            </anchor>
          </controlPr>
        </control>
      </mc:Choice>
      <mc:Fallback>
        <control shapeId="87101" r:id="rId12" name="stage1"/>
      </mc:Fallback>
    </mc:AlternateContent>
    <mc:AlternateContent xmlns:mc="http://schemas.openxmlformats.org/markup-compatibility/2006">
      <mc:Choice Requires="x14">
        <control shapeId="87041" r:id="rId14" name="Check Box 1">
          <controlPr defaultSize="0" autoFill="0" autoLine="0" autoPict="0" macro="[0]!复选框10_Click" altText="启用">
            <anchor moveWithCells="1">
              <from>
                <xdr:col>4</xdr:col>
                <xdr:colOff>152400</xdr:colOff>
                <xdr:row>2</xdr:row>
                <xdr:rowOff>200025</xdr:rowOff>
              </from>
              <to>
                <xdr:col>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42" r:id="rId15" name="Check Box 2">
          <controlPr defaultSize="0" autoFill="0" autoLine="0" autoPict="0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43" r:id="rId16" name="Check Box 3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44" r:id="rId17" name="Check Box 4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45" r:id="rId18" name="Check Box 5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46" r:id="rId19" name="Check Box 6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47" r:id="rId20" name="Check Box 7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48" r:id="rId21" name="Check Box 8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49" r:id="rId22" name="Check Box 9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50" r:id="rId23" name="Check Box 10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51" r:id="rId24" name="Check Box 11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52" r:id="rId25" name="Check Box 12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53" r:id="rId26" name="Check Box 13">
          <controlPr defaultSize="0" autoFill="0" autoLine="0" autoPict="0" altText="启用">
            <anchor moveWithCells="1">
              <from>
                <xdr:col>4</xdr:col>
                <xdr:colOff>152400</xdr:colOff>
                <xdr:row>2</xdr:row>
                <xdr:rowOff>200025</xdr:rowOff>
              </from>
              <to>
                <xdr:col>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54" r:id="rId27" name="Check Box 14">
          <controlPr defaultSize="0" autoFill="0" autoLine="0" autoPict="0" macro="[0]!复选框10_Click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55" r:id="rId28" name="Check Box 15">
          <controlPr defaultSize="0" autoFill="0" autoLine="0" autoPict="0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56" r:id="rId29" name="Check Box 16">
          <controlPr defaultSize="0" autoFill="0" autoLine="0" autoPict="0" macro="[0]!复选框10_Click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57" r:id="rId30" name="Check Box 17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58" r:id="rId31" name="Check Box 18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59" r:id="rId32" name="Check Box 19">
          <controlPr defaultSize="0" autoFill="0" autoLine="0" autoPict="0" macro="[0]!复选框10_Click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60" r:id="rId33" name="Check Box 20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61" r:id="rId34" name="Check Box 21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62" r:id="rId35" name="Check Box 22">
          <controlPr defaultSize="0" autoFill="0" autoLine="0" autoPict="0" macro="[0]!复选框10_Click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63" r:id="rId36" name="Check Box 23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64" r:id="rId37" name="Check Box 24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65" r:id="rId38" name="Check Box 25">
          <controlPr defaultSize="0" autoFill="0" autoLine="0" autoPict="0" macro="[0]!复选框10_Click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66" r:id="rId39" name="Check Box 26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67" r:id="rId40" name="Check Box 27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68" r:id="rId41" name="Check Box 28">
          <controlPr defaultSize="0" autoFill="0" autoLine="0" autoPict="0" macro="[0]!复选框10_Click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69" r:id="rId42" name="Check Box 29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70" r:id="rId43" name="Check Box 30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71" r:id="rId44" name="Check Box 31">
          <controlPr defaultSize="0" autoFill="0" autoLine="0" autoPict="0" macro="[0]!复选框10_Click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72" r:id="rId45" name="Check Box 32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73" r:id="rId46" name="Check Box 33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74" r:id="rId47" name="Check Box 34">
          <controlPr defaultSize="0" autoFill="0" autoLine="0" autoPict="0" macro="[0]!复选框10_Click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75" r:id="rId48" name="Check Box 35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76" r:id="rId49" name="Check Box 36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77" r:id="rId50" name="Check Box 37">
          <controlPr defaultSize="0" autoFill="0" autoLine="0" autoPict="0" macro="[0]!复选框10_Click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78" r:id="rId51" name="Check Box 38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79" r:id="rId52" name="Check Box 39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80" r:id="rId53" name="Check Box 40">
          <controlPr defaultSize="0" autoFill="0" autoLine="0" autoPict="0" macro="[0]!复选框10_Click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81" r:id="rId54" name="Check Box 41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82" r:id="rId55" name="Check Box 42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83" r:id="rId56" name="Check Box 43">
          <controlPr defaultSize="0" autoFill="0" autoLine="0" autoPict="0" macro="[0]!复选框10_Click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84" r:id="rId57" name="Check Box 44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85" r:id="rId58" name="Check Box 45">
          <controlPr defaultSize="0" autoFill="0" autoLine="0" autoPict="0" altText="启用">
            <anchor moveWithCells="1">
              <from>
                <xdr:col>3</xdr:col>
                <xdr:colOff>152400</xdr:colOff>
                <xdr:row>2</xdr:row>
                <xdr:rowOff>200025</xdr:rowOff>
              </from>
              <to>
                <xdr:col>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86" r:id="rId59" name="Check Box 46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87" r:id="rId60" name="Check Box 47">
          <controlPr defaultSize="0" autoFill="0" autoLine="0" autoPict="0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88" r:id="rId61" name="Check Box 48">
          <controlPr defaultSize="0" autoFill="0" autoLine="0" autoPict="0" macro="[0]!复选框10_Click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89" r:id="rId62" name="Check Box 49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90" r:id="rId63" name="Check Box 50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91" r:id="rId64" name="Check Box 51">
          <controlPr defaultSize="0" autoFill="0" autoLine="0" autoPict="0" macro="[0]!复选框10_Click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92" r:id="rId65" name="Check Box 52">
          <controlPr defaultSize="0" autoFill="0" autoLine="0" autoPict="0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93" r:id="rId66" name="Check Box 53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94" r:id="rId67" name="Check Box 54">
          <controlPr defaultSize="0" autoFill="0" autoLine="0" autoPict="0" macro="[0]!复选框10_Click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95" r:id="rId68" name="Check Box 55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7096" r:id="rId69" name="Check Box 56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Y41"/>
  <sheetViews>
    <sheetView showGridLines="0" zoomScale="106" zoomScaleNormal="106" workbookViewId="0">
      <pane xSplit="3" topLeftCell="D1" activePane="topRight" state="frozen"/>
      <selection pane="topRight" activeCell="D7" sqref="D7"/>
    </sheetView>
  </sheetViews>
  <sheetFormatPr defaultRowHeight="16.5" x14ac:dyDescent="0.15"/>
  <cols>
    <col min="1" max="1" width="9" style="2"/>
    <col min="2" max="2" width="16.75" style="1" customWidth="1"/>
    <col min="3" max="3" width="6" style="2" bestFit="1" customWidth="1"/>
    <col min="4" max="18" width="12.625" style="2" customWidth="1"/>
    <col min="19" max="16384" width="9" style="2"/>
  </cols>
  <sheetData>
    <row r="1" spans="1:25" ht="45.75" customHeight="1" x14ac:dyDescent="0.15">
      <c r="A1" s="6"/>
      <c r="B1" s="63" t="s">
        <v>61</v>
      </c>
      <c r="C1" s="63"/>
      <c r="D1" s="6"/>
      <c r="E1"/>
      <c r="F1"/>
      <c r="G1"/>
      <c r="H1"/>
      <c r="I1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</row>
    <row r="2" spans="1:25" ht="16.5" customHeight="1" x14ac:dyDescent="0.15">
      <c r="A2"/>
      <c r="B2" s="63"/>
      <c r="C2" s="63"/>
      <c r="D2" s="8">
        <f>数据源!J5</f>
        <v>0</v>
      </c>
      <c r="E2" s="6"/>
      <c r="F2" s="6"/>
      <c r="G2" s="6"/>
      <c r="H2"/>
      <c r="I2"/>
      <c r="J2"/>
      <c r="K2"/>
      <c r="L2" s="6"/>
      <c r="M2" s="6"/>
      <c r="N2" s="6"/>
      <c r="O2" s="6"/>
      <c r="P2" s="6"/>
      <c r="Q2" s="6"/>
      <c r="R2" s="6"/>
      <c r="S2" s="6"/>
      <c r="T2" s="6"/>
      <c r="U2" s="6"/>
      <c r="V2" s="6"/>
    </row>
    <row r="3" spans="1:25" ht="16.5" customHeight="1" x14ac:dyDescent="0.15">
      <c r="A3"/>
      <c r="B3" s="64"/>
      <c r="C3" s="64"/>
      <c r="D3" s="25">
        <v>1</v>
      </c>
      <c r="E3" s="25">
        <v>2</v>
      </c>
      <c r="F3" s="25">
        <v>3</v>
      </c>
      <c r="G3" s="25">
        <v>4</v>
      </c>
      <c r="H3" s="25">
        <v>5</v>
      </c>
      <c r="I3" s="25">
        <v>6</v>
      </c>
      <c r="J3" s="25">
        <v>7</v>
      </c>
      <c r="K3" s="25">
        <v>8</v>
      </c>
      <c r="L3" s="25">
        <v>9</v>
      </c>
      <c r="M3" s="25">
        <v>10</v>
      </c>
      <c r="N3" s="25">
        <v>11</v>
      </c>
      <c r="O3" s="25">
        <v>12</v>
      </c>
      <c r="P3" s="25">
        <v>13</v>
      </c>
      <c r="Q3" s="25">
        <v>14</v>
      </c>
      <c r="R3" s="25">
        <v>15</v>
      </c>
      <c r="S3" s="6"/>
      <c r="T3" s="6"/>
      <c r="U3" s="6"/>
      <c r="V3"/>
      <c r="W3"/>
      <c r="X3"/>
      <c r="Y3"/>
    </row>
    <row r="4" spans="1:25" x14ac:dyDescent="0.15">
      <c r="A4"/>
      <c r="B4" s="25"/>
      <c r="C4" s="28" t="s">
        <v>38</v>
      </c>
      <c r="D4" s="23" t="b">
        <v>1</v>
      </c>
      <c r="E4" s="24" t="b">
        <v>1</v>
      </c>
      <c r="F4" s="24" t="b">
        <v>1</v>
      </c>
      <c r="G4" s="24" t="b">
        <v>1</v>
      </c>
      <c r="H4" s="24" t="b">
        <v>1</v>
      </c>
      <c r="I4" s="24" t="b">
        <v>0</v>
      </c>
      <c r="J4" s="24" t="b">
        <v>0</v>
      </c>
      <c r="K4" s="24" t="b">
        <v>0</v>
      </c>
      <c r="L4" s="24" t="b">
        <v>0</v>
      </c>
      <c r="M4" s="24" t="b">
        <v>0</v>
      </c>
      <c r="N4" s="24" t="b">
        <v>0</v>
      </c>
      <c r="O4" s="24" t="b">
        <v>0</v>
      </c>
      <c r="P4" s="24" t="b">
        <v>0</v>
      </c>
      <c r="Q4" s="24" t="b">
        <v>0</v>
      </c>
      <c r="R4" s="24" t="b">
        <v>0</v>
      </c>
      <c r="S4"/>
      <c r="T4"/>
      <c r="U4"/>
      <c r="V4"/>
      <c r="W4"/>
      <c r="X4"/>
      <c r="Y4"/>
    </row>
    <row r="5" spans="1:25" s="4" customFormat="1" x14ac:dyDescent="0.15">
      <c r="A5"/>
      <c r="B5" s="25" t="s">
        <v>24</v>
      </c>
      <c r="C5" s="26"/>
      <c r="D5" s="21" t="s">
        <v>83</v>
      </c>
      <c r="E5" s="21" t="s">
        <v>79</v>
      </c>
      <c r="F5" s="21" t="s">
        <v>76</v>
      </c>
      <c r="G5" s="21" t="s">
        <v>52</v>
      </c>
      <c r="H5" s="21" t="s">
        <v>77</v>
      </c>
      <c r="I5" s="21" t="s">
        <v>77</v>
      </c>
      <c r="J5" s="21" t="s">
        <v>52</v>
      </c>
      <c r="K5" s="21" t="s">
        <v>77</v>
      </c>
      <c r="L5" s="21" t="s">
        <v>29</v>
      </c>
      <c r="M5" s="21" t="s">
        <v>30</v>
      </c>
      <c r="N5" s="21" t="s">
        <v>30</v>
      </c>
      <c r="O5" s="21" t="s">
        <v>63</v>
      </c>
      <c r="P5" s="21" t="s">
        <v>31</v>
      </c>
      <c r="Q5" s="21" t="s">
        <v>29</v>
      </c>
      <c r="R5" s="21" t="s">
        <v>29</v>
      </c>
      <c r="S5"/>
      <c r="T5"/>
      <c r="U5"/>
      <c r="V5"/>
      <c r="W5"/>
      <c r="X5"/>
      <c r="Y5"/>
    </row>
    <row r="6" spans="1:25" s="4" customFormat="1" x14ac:dyDescent="0.15">
      <c r="A6"/>
      <c r="B6" s="27" t="s">
        <v>0</v>
      </c>
      <c r="C6" s="26"/>
      <c r="D6" s="43" t="s">
        <v>93</v>
      </c>
      <c r="E6" s="43" t="s">
        <v>129</v>
      </c>
      <c r="F6" s="43" t="s">
        <v>75</v>
      </c>
      <c r="G6" s="43" t="s">
        <v>70</v>
      </c>
      <c r="H6" s="43" t="s">
        <v>119</v>
      </c>
      <c r="I6" s="43" t="s">
        <v>78</v>
      </c>
      <c r="J6" s="43" t="s">
        <v>70</v>
      </c>
      <c r="K6" s="43" t="s">
        <v>78</v>
      </c>
      <c r="L6" s="43" t="s">
        <v>65</v>
      </c>
      <c r="M6" s="43" t="s">
        <v>69</v>
      </c>
      <c r="N6" s="43" t="s">
        <v>66</v>
      </c>
      <c r="O6" s="43" t="s">
        <v>67</v>
      </c>
      <c r="P6" s="43" t="s">
        <v>53</v>
      </c>
      <c r="Q6" s="43" t="s">
        <v>59</v>
      </c>
      <c r="R6" s="43" t="s">
        <v>56</v>
      </c>
      <c r="S6"/>
      <c r="T6"/>
      <c r="U6"/>
      <c r="V6"/>
      <c r="W6"/>
      <c r="X6"/>
      <c r="Y6"/>
    </row>
    <row r="7" spans="1:25" s="4" customFormat="1" ht="17.25" thickBot="1" x14ac:dyDescent="0.2">
      <c r="A7" s="41"/>
      <c r="B7" s="27" t="s">
        <v>57</v>
      </c>
      <c r="C7" s="28" t="s">
        <v>25</v>
      </c>
      <c r="D7" s="42" t="s">
        <v>94</v>
      </c>
      <c r="E7" s="42" t="s">
        <v>95</v>
      </c>
      <c r="F7" s="42" t="s">
        <v>89</v>
      </c>
      <c r="G7" s="42" t="s">
        <v>71</v>
      </c>
      <c r="H7" s="42" t="s">
        <v>90</v>
      </c>
      <c r="I7" s="42" t="s">
        <v>92</v>
      </c>
      <c r="J7" s="42" t="s">
        <v>71</v>
      </c>
      <c r="K7" s="42" t="s">
        <v>92</v>
      </c>
      <c r="L7" s="42" t="s">
        <v>54</v>
      </c>
      <c r="M7" s="42" t="s">
        <v>64</v>
      </c>
      <c r="N7" s="42" t="s">
        <v>64</v>
      </c>
      <c r="O7" s="42" t="s">
        <v>62</v>
      </c>
      <c r="P7" s="42" t="s">
        <v>62</v>
      </c>
      <c r="Q7" s="42" t="s">
        <v>54</v>
      </c>
      <c r="R7" s="42" t="s">
        <v>54</v>
      </c>
      <c r="S7" s="41"/>
      <c r="T7" s="41"/>
      <c r="U7" s="41"/>
      <c r="V7" s="41"/>
      <c r="W7" s="41"/>
      <c r="X7" s="41"/>
      <c r="Y7" s="41"/>
    </row>
    <row r="8" spans="1:25" ht="17.25" thickTop="1" x14ac:dyDescent="0.15">
      <c r="A8"/>
      <c r="B8" s="25" t="s">
        <v>58</v>
      </c>
      <c r="C8" s="26" t="s">
        <v>1</v>
      </c>
      <c r="D8" s="15">
        <f>LOOKUP(1,0/((数据源!$A$2:$A$160=D5)*(数据源!$B$2:$B$160=D6)*(数据源!$C$2:$C$160=D7)),数据源!$D$2:$D$160)</f>
        <v>-0.67</v>
      </c>
      <c r="E8" s="15">
        <f>LOOKUP(1,0/((数据源!$A$2:$A$160=E5)*(数据源!$B$2:$B$160=E6)*(数据源!$C$2:$C$160=E7)),数据源!$D$2:$D$160)</f>
        <v>-1.8</v>
      </c>
      <c r="F8" s="15">
        <f>LOOKUP(1,0/((数据源!$A$2:$A$160=F5)*(数据源!$B$2:$B$160=F6)*(数据源!$C$2:$C$160=F7)),数据源!$D$2:$D$160)</f>
        <v>-1.1000000000000001</v>
      </c>
      <c r="G8" s="15">
        <f>LOOKUP(1,0/((数据源!$A$2:$A$160=G5)*(数据源!$B$2:$B$160=G6)*(数据源!$C$2:$C$160=G7)),数据源!$D$2:$D$160)</f>
        <v>15</v>
      </c>
      <c r="H8" s="15">
        <f>LOOKUP(1,0/((数据源!$A$2:$A$160=H5)*(数据源!$B$2:$B$160=H6)*(数据源!$C$2:$C$160=H7)),数据源!$D$2:$D$160)</f>
        <v>56</v>
      </c>
      <c r="I8" s="15">
        <f>LOOKUP(1,0/((数据源!$A$2:$A$160=I5)*(数据源!$B$2:$B$160=I6)*(数据源!$C$2:$C$160=I7)),数据源!$D$2:$D$160)</f>
        <v>56</v>
      </c>
      <c r="J8" s="15">
        <f>LOOKUP(1,0/((数据源!$A$2:$A$160=J5)*(数据源!$B$2:$B$160=J6)*(数据源!$C$2:$C$160=J7)),数据源!$D$2:$D$160)</f>
        <v>15</v>
      </c>
      <c r="K8" s="15">
        <f>LOOKUP(1,0/((数据源!$A$2:$A$160=K5)*(数据源!$B$2:$B$160=K6)*(数据源!$C$2:$C$160=K7)),数据源!$D$2:$D$160)</f>
        <v>56</v>
      </c>
      <c r="L8" s="15">
        <f>LOOKUP(1,0/((数据源!$A$2:$A$160=L5)*(数据源!$B$2:$B$160=L6)*(数据源!$C$2:$C$160=L7)),数据源!$D$2:$D$160)</f>
        <v>-2</v>
      </c>
      <c r="M8" s="15" t="e">
        <f>LOOKUP(1,0/((数据源!$A$2:$A$160=M5)*(数据源!$B$2:$B$160=M6)*(数据源!$C$2:$C$160=M7)),数据源!$D$2:$D$160)</f>
        <v>#N/A</v>
      </c>
      <c r="N8" s="15" t="e">
        <f>LOOKUP(1,0/((数据源!$A$2:$A$160=N5)*(数据源!$B$2:$B$160=N6)*(数据源!$C$2:$C$160=N7)),数据源!$D$2:$D$160)</f>
        <v>#N/A</v>
      </c>
      <c r="O8" s="15" t="e">
        <f>LOOKUP(1,0/((数据源!$A$2:$A$160=O5)*(数据源!$B$2:$B$160=O6)*(数据源!$C$2:$C$160=O7)),数据源!$D$2:$D$160)</f>
        <v>#N/A</v>
      </c>
      <c r="P8" s="15" t="e">
        <f>LOOKUP(1,0/((数据源!$A$2:$A$160=P5)*(数据源!$B$2:$B$160=P6)*(数据源!$C$2:$C$160=P7)),数据源!$D$2:$D$160)</f>
        <v>#N/A</v>
      </c>
      <c r="Q8" s="15">
        <f>LOOKUP(1,0/((数据源!$A$2:$A$160=Q5)*(数据源!$B$2:$B$160=Q6)*(数据源!$C$2:$C$160=Q7)),数据源!$D$2:$D$160)</f>
        <v>-5</v>
      </c>
      <c r="R8" s="15">
        <f>LOOKUP(1,0/((数据源!$A$2:$A$160=R5)*(数据源!$B$2:$B$160=R6)*(数据源!$C$2:$C$160=R7)),数据源!$D$2:$D$160)</f>
        <v>-8</v>
      </c>
      <c r="S8"/>
      <c r="T8"/>
      <c r="U8"/>
      <c r="V8"/>
      <c r="W8"/>
      <c r="X8"/>
      <c r="Y8"/>
    </row>
    <row r="9" spans="1:25" x14ac:dyDescent="0.15">
      <c r="A9"/>
      <c r="B9" s="25" t="s">
        <v>2</v>
      </c>
      <c r="C9" s="26" t="s">
        <v>1</v>
      </c>
      <c r="D9" s="12">
        <f>LOOKUP(1,0/((数据源!$A$2:$A$160=D5)*(数据源!$B$2:$B$160=D6)*(数据源!$C$2:$C$160=D7)),数据源!$E$2:$E$160)</f>
        <v>0.67</v>
      </c>
      <c r="E9" s="12">
        <f>LOOKUP(1,0/((数据源!$A$2:$A$160=E5)*(数据源!$B$2:$B$160=E6)*(数据源!$C$2:$C$160=E7)),数据源!$E$2:$E$160)</f>
        <v>1.8</v>
      </c>
      <c r="F9" s="12">
        <f>LOOKUP(1,0/((数据源!$A$2:$A$160=F5)*(数据源!$B$2:$B$160=F6)*(数据源!$C$2:$C$160=F7)),数据源!$E$2:$E$160)</f>
        <v>1.1000000000000001</v>
      </c>
      <c r="G9" s="12">
        <f>LOOKUP(1,0/((数据源!$A$2:$A$160=G5)*(数据源!$B$2:$B$160=G6)*(数据源!$C$2:$C$160=G7)),数据源!$E$2:$E$160)</f>
        <v>0.7</v>
      </c>
      <c r="H9" s="12">
        <f>LOOKUP(1,0/((数据源!$A$2:$A$160=H5)*(数据源!$B$2:$B$160=H6)*(数据源!$C$2:$C$160=H7)),数据源!$E$2:$E$160)</f>
        <v>3</v>
      </c>
      <c r="I9" s="12">
        <f>LOOKUP(1,0/((数据源!$A$2:$A$160=I5)*(数据源!$B$2:$B$160=I6)*(数据源!$C$2:$C$160=I7)),数据源!$E$2:$E$160)</f>
        <v>2.7</v>
      </c>
      <c r="J9" s="12">
        <f>LOOKUP(1,0/((数据源!$A$2:$A$160=J5)*(数据源!$B$2:$B$160=J6)*(数据源!$C$2:$C$160=J7)),数据源!$E$2:$E$160)</f>
        <v>0.7</v>
      </c>
      <c r="K9" s="12">
        <f>LOOKUP(1,0/((数据源!$A$2:$A$160=K5)*(数据源!$B$2:$B$160=K6)*(数据源!$C$2:$C$160=K7)),数据源!$E$2:$E$160)</f>
        <v>2.7</v>
      </c>
      <c r="L9" s="12">
        <f>LOOKUP(1,0/((数据源!$A$2:$A$160=L5)*(数据源!$B$2:$B$160=L6)*(数据源!$C$2:$C$160=L7)),数据源!$E$2:$E$160)</f>
        <v>2</v>
      </c>
      <c r="M9" s="12" t="e">
        <f>LOOKUP(1,0/((数据源!$A$2:$A$160=M5)*(数据源!$B$2:$B$160=M6)*(数据源!$C$2:$C$160=M7)),数据源!$E$2:$E$160)</f>
        <v>#N/A</v>
      </c>
      <c r="N9" s="12" t="e">
        <f>LOOKUP(1,0/((数据源!$A$2:$A$160=N5)*(数据源!$B$2:$B$160=N6)*(数据源!$C$2:$C$160=N7)),数据源!$E$2:$E$160)</f>
        <v>#N/A</v>
      </c>
      <c r="O9" s="12" t="e">
        <f>LOOKUP(1,0/((数据源!$A$2:$A$160=O5)*(数据源!$B$2:$B$160=O6)*(数据源!$C$2:$C$160=O7)),数据源!$E$2:$E$160)</f>
        <v>#N/A</v>
      </c>
      <c r="P9" s="12" t="e">
        <f>LOOKUP(1,0/((数据源!$A$2:$A$160=P5)*(数据源!$B$2:$B$160=P6)*(数据源!$C$2:$C$160=P7)),数据源!$E$2:$E$160)</f>
        <v>#N/A</v>
      </c>
      <c r="Q9" s="12">
        <f>LOOKUP(1,0/((数据源!$A$2:$A$160=Q5)*(数据源!$B$2:$B$160=Q6)*(数据源!$C$2:$C$160=Q7)),数据源!$E$2:$E$160)</f>
        <v>5</v>
      </c>
      <c r="R9" s="12">
        <f>LOOKUP(1,0/((数据源!$A$2:$A$160=R5)*(数据源!$B$2:$B$160=R6)*(数据源!$C$2:$C$160=R7)),数据源!$E$2:$E$160)</f>
        <v>8</v>
      </c>
      <c r="S9"/>
      <c r="T9"/>
      <c r="U9"/>
      <c r="V9"/>
      <c r="W9"/>
      <c r="X9"/>
      <c r="Y9"/>
    </row>
    <row r="10" spans="1:25" x14ac:dyDescent="0.15">
      <c r="A10"/>
      <c r="B10" s="25" t="s">
        <v>55</v>
      </c>
      <c r="C10" s="26" t="s">
        <v>3</v>
      </c>
      <c r="D10" s="12">
        <f>LOOKUP(1,0/((数据源!$A$2:$A$160=D5)*(数据源!$B$2:$B$160=D6)*(数据源!$C$2:$C$160=D7)),数据源!$F$2:$F$160)</f>
        <v>60</v>
      </c>
      <c r="E10" s="12">
        <f>LOOKUP(1,0/((数据源!$A$2:$A$160=E5)*(数据源!$B$2:$B$160=E6)*(数据源!$C$2:$C$160=E7)),数据源!$F$2:$F$160)</f>
        <v>60</v>
      </c>
      <c r="F10" s="12">
        <f>LOOKUP(1,0/((数据源!$A$2:$A$160=F5)*(数据源!$B$2:$B$160=F6)*(数据源!$C$2:$C$160=F7)),数据源!$F$2:$F$160)</f>
        <v>60</v>
      </c>
      <c r="G10" s="12">
        <f>LOOKUP(1,0/((数据源!$A$2:$A$160=G5)*(数据源!$B$2:$B$160=G6)*(数据源!$C$2:$C$160=G7)),数据源!$F$2:$F$160)</f>
        <v>15</v>
      </c>
      <c r="H10" s="12">
        <f>LOOKUP(1,0/((数据源!$A$2:$A$160=H5)*(数据源!$B$2:$B$160=H6)*(数据源!$C$2:$C$160=H7)),数据源!$F$2:$F$160)</f>
        <v>60</v>
      </c>
      <c r="I10" s="12">
        <f>LOOKUP(1,0/((数据源!$A$2:$A$160=I5)*(数据源!$B$2:$B$160=I6)*(数据源!$C$2:$C$160=I7)),数据源!$F$2:$F$160)</f>
        <v>60</v>
      </c>
      <c r="J10" s="12">
        <f>LOOKUP(1,0/((数据源!$A$2:$A$160=J5)*(数据源!$B$2:$B$160=J6)*(数据源!$C$2:$C$160=J7)),数据源!$F$2:$F$160)</f>
        <v>15</v>
      </c>
      <c r="K10" s="12">
        <f>LOOKUP(1,0/((数据源!$A$2:$A$160=K5)*(数据源!$B$2:$B$160=K6)*(数据源!$C$2:$C$160=K7)),数据源!$F$2:$F$160)</f>
        <v>60</v>
      </c>
      <c r="L10" s="12">
        <f>LOOKUP(1,0/((数据源!$A$2:$A$160=L5)*(数据源!$B$2:$B$160=L6)*(数据源!$C$2:$C$160=L7)),数据源!$F$2:$F$160)</f>
        <v>1000</v>
      </c>
      <c r="M10" s="12" t="e">
        <f>LOOKUP(1,0/((数据源!$A$2:$A$160=M5)*(数据源!$B$2:$B$160=M6)*(数据源!$C$2:$C$160=M7)),数据源!$F$2:$F$160)</f>
        <v>#N/A</v>
      </c>
      <c r="N10" s="12" t="e">
        <f>LOOKUP(1,0/((数据源!$A$2:$A$160=N5)*(数据源!$B$2:$B$160=N6)*(数据源!$C$2:$C$160=N7)),数据源!$F$2:$F$160)</f>
        <v>#N/A</v>
      </c>
      <c r="O10" s="12" t="e">
        <f>LOOKUP(1,0/((数据源!$A$2:$A$160=O5)*(数据源!$B$2:$B$160=O6)*(数据源!$C$2:$C$160=O7)),数据源!$F$2:$F$160)</f>
        <v>#N/A</v>
      </c>
      <c r="P10" s="12" t="e">
        <f>LOOKUP(1,0/((数据源!$A$2:$A$160=P5)*(数据源!$B$2:$B$160=P6)*(数据源!$C$2:$C$160=P7)),数据源!$F$2:$F$160)</f>
        <v>#N/A</v>
      </c>
      <c r="Q10" s="12">
        <f>LOOKUP(1,0/((数据源!$A$2:$A$160=Q5)*(数据源!$B$2:$B$160=Q6)*(数据源!$C$2:$C$160=Q7)),数据源!$F$2:$F$160)</f>
        <v>1000</v>
      </c>
      <c r="R10" s="12">
        <f>LOOKUP(1,0/((数据源!$A$2:$A$160=R5)*(数据源!$B$2:$B$160=R6)*(数据源!$C$2:$C$160=R7)),数据源!$F$2:$F$160)</f>
        <v>1000</v>
      </c>
      <c r="S10"/>
      <c r="T10"/>
      <c r="U10"/>
      <c r="V10"/>
      <c r="W10"/>
      <c r="X10"/>
      <c r="Y10"/>
    </row>
    <row r="11" spans="1:25" ht="17.25" thickBot="1" x14ac:dyDescent="0.2">
      <c r="A11" s="6"/>
      <c r="B11" s="29" t="s">
        <v>4</v>
      </c>
      <c r="C11" s="30" t="s">
        <v>3</v>
      </c>
      <c r="D11" s="13">
        <f>LOOKUP(1,0/((数据源!$A$2:$A$160=D5)*(数据源!$B$2:$B$160=D6)*(数据源!$C$2:$C$160=D7)),数据源!$G$2:$G$160)</f>
        <v>60</v>
      </c>
      <c r="E11" s="13">
        <f>LOOKUP(1,0/((数据源!$A$2:$A$160=E5)*(数据源!$B$2:$B$160=E6)*(数据源!$C$2:$C$160=E7)),数据源!$G$2:$G$160)</f>
        <v>60</v>
      </c>
      <c r="F11" s="13">
        <f>LOOKUP(1,0/((数据源!$A$2:$A$160=F5)*(数据源!$B$2:$B$160=F6)*(数据源!$C$2:$C$160=F7)),数据源!$G$2:$G$160)</f>
        <v>60</v>
      </c>
      <c r="G11" s="13">
        <f>LOOKUP(1,0/((数据源!$A$2:$A$160=G5)*(数据源!$B$2:$B$160=G6)*(数据源!$C$2:$C$160=G7)),数据源!$G$2:$G$160)</f>
        <v>16</v>
      </c>
      <c r="H11" s="13">
        <f>LOOKUP(1,0/((数据源!$A$2:$A$160=H5)*(数据源!$B$2:$B$160=H6)*(数据源!$C$2:$C$160=H7)),数据源!$G$2:$G$160)</f>
        <v>60</v>
      </c>
      <c r="I11" s="13">
        <f>LOOKUP(1,0/((数据源!$A$2:$A$160=I5)*(数据源!$B$2:$B$160=I6)*(数据源!$C$2:$C$160=I7)),数据源!$G$2:$G$160)</f>
        <v>60</v>
      </c>
      <c r="J11" s="13">
        <f>LOOKUP(1,0/((数据源!$A$2:$A$160=J5)*(数据源!$B$2:$B$160=J6)*(数据源!$C$2:$C$160=J7)),数据源!$G$2:$G$160)</f>
        <v>16</v>
      </c>
      <c r="K11" s="13">
        <f>LOOKUP(1,0/((数据源!$A$2:$A$160=K5)*(数据源!$B$2:$B$160=K6)*(数据源!$C$2:$C$160=K7)),数据源!$G$2:$G$160)</f>
        <v>60</v>
      </c>
      <c r="L11" s="13">
        <f>LOOKUP(1,0/((数据源!$A$2:$A$160=L5)*(数据源!$B$2:$B$160=L6)*(数据源!$C$2:$C$160=L7)),数据源!$G$2:$G$160)</f>
        <v>1000</v>
      </c>
      <c r="M11" s="13" t="e">
        <f>LOOKUP(1,0/((数据源!$A$2:$A$160=M5)*(数据源!$B$2:$B$160=M6)*(数据源!$C$2:$C$160=M7)),数据源!$G$2:$G$160)</f>
        <v>#N/A</v>
      </c>
      <c r="N11" s="13" t="e">
        <f>LOOKUP(1,0/((数据源!$A$2:$A$160=N5)*(数据源!$B$2:$B$160=N6)*(数据源!$C$2:$C$160=N7)),数据源!$G$2:$G$160)</f>
        <v>#N/A</v>
      </c>
      <c r="O11" s="13" t="e">
        <f>LOOKUP(1,0/((数据源!$A$2:$A$160=O5)*(数据源!$B$2:$B$160=O6)*(数据源!$C$2:$C$160=O7)),数据源!$G$2:$G$160)</f>
        <v>#N/A</v>
      </c>
      <c r="P11" s="13" t="e">
        <f>LOOKUP(1,0/((数据源!$A$2:$A$160=P5)*(数据源!$B$2:$B$160=P6)*(数据源!$C$2:$C$160=P7)),数据源!$G$2:$G$160)</f>
        <v>#N/A</v>
      </c>
      <c r="Q11" s="13">
        <f>LOOKUP(1,0/((数据源!$A$2:$A$160=Q5)*(数据源!$B$2:$B$160=Q6)*(数据源!$C$2:$C$160=Q7)),数据源!$G$2:$G$160)</f>
        <v>1000</v>
      </c>
      <c r="R11" s="13">
        <f>LOOKUP(1,0/((数据源!$A$2:$A$160=R5)*(数据源!$B$2:$B$160=R6)*(数据源!$C$2:$C$160=R7)),数据源!$G$2:$G$160)</f>
        <v>1000</v>
      </c>
      <c r="S11"/>
      <c r="T11"/>
      <c r="U11"/>
      <c r="V11"/>
      <c r="W11"/>
      <c r="X11"/>
      <c r="Y11"/>
    </row>
    <row r="12" spans="1:25" ht="17.25" thickTop="1" x14ac:dyDescent="0.15">
      <c r="A12" s="48">
        <f>M23</f>
        <v>-100.92976758737601</v>
      </c>
      <c r="B12" s="31" t="s">
        <v>5</v>
      </c>
      <c r="C12" s="32" t="s">
        <v>1</v>
      </c>
      <c r="D12" s="14">
        <f>IF(AND(D4&lt;&gt;FALSE,D8&lt;&gt;""),D8,"")</f>
        <v>-0.67</v>
      </c>
      <c r="E12" s="11">
        <f>IF(OR($D$4:E$4)=FALSE,"",IF(E$4=FALSE,D12,IF(OR($D$4:D4)=FALSE,E8,E8+D12)))</f>
        <v>-2.4700000000000002</v>
      </c>
      <c r="F12" s="11">
        <f>IF(OR($D$4:F$4)=FALSE,"",IF(F$4=FALSE,E12,IF(OR($D$4:E4)=FALSE,F8,F8+E12)))</f>
        <v>-3.5700000000000003</v>
      </c>
      <c r="G12" s="11">
        <f>IF(OR($D$4:G$4)=FALSE,"",IF(G$4=FALSE,F12,IF(OR($D$4:F4)=FALSE,G8,G8+F12)))</f>
        <v>11.43</v>
      </c>
      <c r="H12" s="11">
        <f>IF(OR($D$4:H$4)=FALSE,"",IF(H$4=FALSE,G12,IF(OR($D$4:G4)=FALSE,H8,H8+G12)))</f>
        <v>67.430000000000007</v>
      </c>
      <c r="I12" s="11">
        <f>IF(OR($D$4:I$4)=FALSE,"",IF(I$4=FALSE,H12,IF(OR($D$4:H4)=FALSE,I8,I8+H12)))</f>
        <v>67.430000000000007</v>
      </c>
      <c r="J12" s="11">
        <f>IF(OR($D$4:J$4)=FALSE,"",IF(J$4=FALSE,I12,IF(OR($D$4:I4)=FALSE,J8,J8+I12)))</f>
        <v>67.430000000000007</v>
      </c>
      <c r="K12" s="11">
        <f>IF(OR($D$4:K$4)=FALSE,"",IF(K$4=FALSE,J12,IF(OR($D$4:J4)=FALSE,K8,K8+J12)))</f>
        <v>67.430000000000007</v>
      </c>
      <c r="L12" s="11">
        <f>IF(OR($D$4:L$4)=FALSE,"",IF(L$4=FALSE,K12,IF(OR($D$4:K4)=FALSE,L8,L8+K12)))</f>
        <v>67.430000000000007</v>
      </c>
      <c r="M12" s="11">
        <f>IF(OR($D$4:M$4)=FALSE,"",IF(M$4=FALSE,L12,IF(OR($D$4:L4)=FALSE,M8,M8+L12)))</f>
        <v>67.430000000000007</v>
      </c>
      <c r="N12" s="11">
        <f>IF(OR($D$4:N$4)=FALSE,"",IF(N$4=FALSE,M12,IF(OR($D$4:M4)=FALSE,N8,N8+M12)))</f>
        <v>67.430000000000007</v>
      </c>
      <c r="O12" s="11">
        <f>IF(OR($D$4:O$4)=FALSE,"",IF(O$4=FALSE,N12,IF(OR($D$4:N4)=FALSE,O8,O8+N12)))</f>
        <v>67.430000000000007</v>
      </c>
      <c r="P12" s="11">
        <f>IF(OR($D$4:P$4)=FALSE,"",IF(P$4=FALSE,O12,IF(OR($D$4:O4)=FALSE,P8,P8+O12)))</f>
        <v>67.430000000000007</v>
      </c>
      <c r="Q12" s="11">
        <f>IF(OR($D$4:Q$4)=FALSE,"",IF(Q$4=FALSE,P12,IF(OR($D$4:P4)=FALSE,Q8,Q8+P12)))</f>
        <v>67.430000000000007</v>
      </c>
      <c r="R12" s="11">
        <f>IF(OR($D$4:R$4)=FALSE,"",IF(R$4=FALSE,Q12,IF(OR($D$4:Q4)=FALSE,R8,R8+Q12)))</f>
        <v>67.430000000000007</v>
      </c>
      <c r="S12"/>
      <c r="T12"/>
      <c r="U12"/>
      <c r="V12"/>
      <c r="W12"/>
      <c r="X12"/>
      <c r="Y12"/>
    </row>
    <row r="13" spans="1:25" x14ac:dyDescent="0.15">
      <c r="A13" s="6"/>
      <c r="B13" s="33" t="s">
        <v>6</v>
      </c>
      <c r="C13" s="34" t="s">
        <v>1</v>
      </c>
      <c r="D13" s="12">
        <f>IF(AND(D4&lt;&gt;FALSE,D9&lt;&gt;""),D9,"")</f>
        <v>0.67</v>
      </c>
      <c r="E13" s="10">
        <f>IF(OR($D$4:E$4)=FALSE,"",IF(E$4=FALSE,D13,IF(OR($D$4:D$4)=FALSE,E9,10*LOG(10^(D13/10)+(10^(E9/10)-1)/10^(D12/10)))))</f>
        <v>2.4700000000000006</v>
      </c>
      <c r="F13" s="10">
        <f>IF(OR($D$4:F$4)=FALSE,"",IF(F$4=FALSE,E13,IF(OR($D$4:E$4)=FALSE,F9,10*LOG(10^(E13/10)+(10^(F9/10)-1)/10^(E12/10)))))</f>
        <v>3.5700000000000012</v>
      </c>
      <c r="G13" s="10">
        <f>IF(OR($D$4:G$4)=FALSE,"",IF(G$4=FALSE,F13,IF(OR($D$4:F$4)=FALSE,G9,10*LOG(10^(F13/10)+(10^(G9/10)-1)/10^(F12/10)))))</f>
        <v>4.2700000000000014</v>
      </c>
      <c r="H13" s="10">
        <f>IF(OR($D$4:H$4)=FALSE,"",IF(H$4=FALSE,G13,IF(OR($D$4:G$4)=FALSE,H9,10*LOG(10^(G13/10)+(10^(H9/10)-1)/10^(G12/10)))))</f>
        <v>4.3848071323152302</v>
      </c>
      <c r="I13" s="10">
        <f>IF(OR($D$4:I$4)=FALSE,"",IF(I$4=FALSE,H13,IF(OR($D$4:H$4)=FALSE,I9,10*LOG(10^(H13/10)+(10^(I9/10)-1)/10^(H12/10)))))</f>
        <v>4.3848071323152302</v>
      </c>
      <c r="J13" s="10">
        <f>IF(OR($D$4:J$4)=FALSE,"",IF(J$4=FALSE,I13,IF(OR($D$4:I$4)=FALSE,J9,10*LOG(10^(I13/10)+(10^(J9/10)-1)/10^(I12/10)))))</f>
        <v>4.3848071323152302</v>
      </c>
      <c r="K13" s="10">
        <f>IF(OR($D$4:K$4)=FALSE,"",IF(K$4=FALSE,J13,IF(OR($D$4:J$4)=FALSE,K9,10*LOG(10^(J13/10)+(10^(K9/10)-1)/10^(J12/10)))))</f>
        <v>4.3848071323152302</v>
      </c>
      <c r="L13" s="10">
        <f>IF(OR($D$4:L$4)=FALSE,"",IF(L$4=FALSE,K13,IF(OR($D$4:K$4)=FALSE,L9,10*LOG(10^(K13/10)+(10^(L9/10)-1)/10^(K12/10)))))</f>
        <v>4.3848071323152302</v>
      </c>
      <c r="M13" s="10">
        <f>IF(OR($D$4:M$4)=FALSE,"",IF(M$4=FALSE,L13,IF(OR($D$4:L$4)=FALSE,M9,10*LOG(10^(L13/10)+(10^(M9/10)-1)/10^(L12/10)))))</f>
        <v>4.3848071323152302</v>
      </c>
      <c r="N13" s="10">
        <f>IF(OR($D$4:N$4)=FALSE,"",IF(N$4=FALSE,M13,IF(OR($D$4:M$4)=FALSE,N9,10*LOG(10^(M13/10)+(10^(N9/10)-1)/10^(M12/10)))))</f>
        <v>4.3848071323152302</v>
      </c>
      <c r="O13" s="10">
        <f>IF(OR($D$4:O$4)=FALSE,"",IF(O$4=FALSE,N13,IF(OR($D$4:N$4)=FALSE,O9,10*LOG(10^(N13/10)+(10^(O9/10)-1)/10^(N12/10)))))</f>
        <v>4.3848071323152302</v>
      </c>
      <c r="P13" s="10">
        <f>IF(OR($D$4:P$4)=FALSE,"",IF(P$4=FALSE,O13,IF(OR($D$4:O$4)=FALSE,P9,10*LOG(10^(O13/10)+(10^(P9/10)-1)/10^(O12/10)))))</f>
        <v>4.3848071323152302</v>
      </c>
      <c r="Q13" s="10">
        <f>IF(OR($D$4:Q$4)=FALSE,"",IF(Q$4=FALSE,P13,IF(OR($D$4:P$4)=FALSE,Q9,10*LOG(10^(P13/10)+(10^(Q9/10)-1)/10^(P12/10)))))</f>
        <v>4.3848071323152302</v>
      </c>
      <c r="R13" s="10">
        <f>IF(OR($D$4:R$4)=FALSE,"",IF(R$4=FALSE,Q13,IF(OR($D$4:Q$4)=FALSE,R9,10*LOG(10^(Q13/10)+(10^(R9/10)-1)/10^(Q12/10)))))</f>
        <v>4.3848071323152302</v>
      </c>
      <c r="S13" s="6"/>
      <c r="T13" s="6"/>
      <c r="U13" s="6"/>
      <c r="V13" s="6"/>
    </row>
    <row r="14" spans="1:25" x14ac:dyDescent="0.15">
      <c r="A14" s="6"/>
      <c r="B14" s="33" t="s">
        <v>7</v>
      </c>
      <c r="C14" s="34" t="s">
        <v>3</v>
      </c>
      <c r="D14" s="12">
        <f>IF(AND(D4&lt;&gt;FALSE,D10&lt;&gt;""),D10,"")</f>
        <v>60</v>
      </c>
      <c r="E14" s="10">
        <f>IF(OR($D$4:E$4)=FALSE,"",IF(E$4=FALSE,D14,IF(OR($D$4:D$4)=FALSE,E10,10*LOG(1/(1/10^(E10/10)+1/(10^(D14/10)*10^(E8/10)))))))</f>
        <v>55.997105277687936</v>
      </c>
      <c r="F14" s="10">
        <f>IF(OR($D$4:F$4)=FALSE,"",IF(F$4=FALSE,E14,IF(OR($D$4:E$4)=FALSE,F10,10*LOG(1/(1/10^(F10/10)+1/(10^(E14/10)*10^(F8/10)))))))</f>
        <v>53.728293994417619</v>
      </c>
      <c r="G14" s="10">
        <f>IF(OR($D$4:G$4)=FALSE,"",IF(G$4=FALSE,F14,IF(OR($D$4:F$4)=FALSE,G10,10*LOG(1/(1/10^(G10/10)+1/(10^(F14/10)*10^(G8/10)))))))</f>
        <v>14.999981594229965</v>
      </c>
      <c r="H14" s="10">
        <f>IF(OR($D$4:H$4)=FALSE,"",IF(H$4=FALSE,G14,IF(OR($D$4:G$4)=FALSE,H10,10*LOG(1/(1/10^(H10/10)+1/(10^(G14/10)*10^(H8/10)))))))</f>
        <v>59.668042445677429</v>
      </c>
      <c r="I14" s="10">
        <f>IF(OR($D$4:I$4)=FALSE,"",IF(I$4=FALSE,H14,IF(OR($D$4:H$4)=FALSE,I10,10*LOG(1/(1/10^(I10/10)+1/(10^(H14/10)*10^(I8/10)))))))</f>
        <v>59.668042445677429</v>
      </c>
      <c r="J14" s="10">
        <f>IF(OR($D$4:J$4)=FALSE,"",IF(J$4=FALSE,I14,IF(OR($D$4:I$4)=FALSE,J10,10*LOG(1/(1/10^(J10/10)+1/(10^(I14/10)*10^(J8/10)))))))</f>
        <v>59.668042445677429</v>
      </c>
      <c r="K14" s="10">
        <f>IF(OR($D$4:K$4)=FALSE,"",IF(K$4=FALSE,J14,IF(OR($D$4:J$4)=FALSE,K10,10*LOG(1/(1/10^(K10/10)+1/(10^(J14/10)*10^(K8/10)))))))</f>
        <v>59.668042445677429</v>
      </c>
      <c r="L14" s="10">
        <f>IF(OR($D$4:L$4)=FALSE,"",IF(L$4=FALSE,K14,IF(OR($D$4:K$4)=FALSE,L10,10*LOG(1/(1/10^(L10/10)+1/(10^(K14/10)*10^(L8/10)))))))</f>
        <v>59.668042445677429</v>
      </c>
      <c r="M14" s="10">
        <f>IF(OR($D$4:M$4)=FALSE,"",IF(M$4=FALSE,L14,IF(OR($D$4:L$4)=FALSE,M10,10*LOG(1/(1/10^(M10/10)+1/(10^(L14/10)*10^(M8/10)))))))</f>
        <v>59.668042445677429</v>
      </c>
      <c r="N14" s="10">
        <f>IF(OR($D$4:N$4)=FALSE,"",IF(N$4=FALSE,M14,IF(OR($D$4:M$4)=FALSE,N10,10*LOG(1/(1/10^(N10/10)+1/(10^(M14/10)*10^(N8/10)))))))</f>
        <v>59.668042445677429</v>
      </c>
      <c r="O14" s="10">
        <f>IF(OR($D$4:O$4)=FALSE,"",IF(O$4=FALSE,N14,IF(OR($D$4:N$4)=FALSE,O10,10*LOG(1/(1/10^(O10/10)+1/(10^(N14/10)*10^(O8/10)))))))</f>
        <v>59.668042445677429</v>
      </c>
      <c r="P14" s="10">
        <f>IF(OR($D$4:P$4)=FALSE,"",IF(P$4=FALSE,O14,IF(OR($D$4:O$4)=FALSE,P10,10*LOG(1/(1/10^(P10/10)+1/(10^(O14/10)*10^(P8/10)))))))</f>
        <v>59.668042445677429</v>
      </c>
      <c r="Q14" s="10">
        <f>IF(OR($D$4:Q$4)=FALSE,"",IF(Q$4=FALSE,P14,IF(OR($D$4:P$4)=FALSE,Q10,10*LOG(1/(1/10^(Q10/10)+1/(10^(P14/10)*10^(Q8/10)))))))</f>
        <v>59.668042445677429</v>
      </c>
      <c r="R14" s="10">
        <f>IF(OR($D$4:R$4)=FALSE,"",IF(R$4=FALSE,Q14,IF(OR($D$4:Q$4)=FALSE,R10,10*LOG(1/(1/10^(R10/10)+1/(10^(Q14/10)*10^(R8/10)))))))</f>
        <v>59.668042445677429</v>
      </c>
      <c r="S14" s="6"/>
      <c r="T14" s="6"/>
      <c r="U14" s="6"/>
      <c r="V14" s="6"/>
    </row>
    <row r="15" spans="1:25" ht="17.25" thickBot="1" x14ac:dyDescent="0.2">
      <c r="A15" s="6"/>
      <c r="B15" s="35" t="s">
        <v>36</v>
      </c>
      <c r="C15" s="36" t="s">
        <v>3</v>
      </c>
      <c r="D15" s="22">
        <f>IF(AND(D4&lt;&gt;FALSE,D11&lt;&gt;""),D11,"")</f>
        <v>60</v>
      </c>
      <c r="E15" s="16">
        <f>IF(OR($D$4:E$4)=FALSE,"",IF(E$4=FALSE,D15,IF(OR($D$4:D$4)=FALSE,E11,10*LOG(1/(1/10^(E11/10)+1/(10^(D15/10)*10^(E8/10)))))))</f>
        <v>55.997105277687936</v>
      </c>
      <c r="F15" s="16">
        <f>IF(OR($D$4:F$4)=FALSE,"",IF(F$4=FALSE,E15,IF(OR($D$4:E$4)=FALSE,F11,10*LOG(1/(1/10^(F11/10)+1/(10^(E15/10)*10^(F8/10)))))))</f>
        <v>53.728293994417619</v>
      </c>
      <c r="G15" s="16">
        <f>IF(OR($D$4:G$4)=FALSE,"",IF(G$4=FALSE,F15,IF(OR($D$4:F$4)=FALSE,G11,10*LOG(1/(1/10^(G11/10)+1/(10^(F15/10)*10^(G8/10)))))))</f>
        <v>15.999976828521095</v>
      </c>
      <c r="H15" s="16">
        <f>IF(OR($D$4:H$4)=FALSE,"",IF(H$4=FALSE,G15,IF(OR($D$4:G$4)=FALSE,H11,10*LOG(1/(1/10^(H11/10)+1/(10^(G15/10)*10^(H8/10)))))))</f>
        <v>59.7342748687864</v>
      </c>
      <c r="I15" s="16">
        <f>IF(OR($D$4:I$4)=FALSE,"",IF(I$4=FALSE,H15,IF(OR($D$4:H$4)=FALSE,I11,10*LOG(1/(1/10^(I11/10)+1/(10^(H15/10)*10^(I8/10)))))))</f>
        <v>59.7342748687864</v>
      </c>
      <c r="J15" s="16">
        <f>IF(OR($D$4:J$4)=FALSE,"",IF(J$4=FALSE,I15,IF(OR($D$4:I$4)=FALSE,J11,10*LOG(1/(1/10^(J11/10)+1/(10^(I15/10)*10^(J8/10)))))))</f>
        <v>59.7342748687864</v>
      </c>
      <c r="K15" s="16">
        <f>IF(OR($D$4:K$4)=FALSE,"",IF(K$4=FALSE,J15,IF(OR($D$4:J$4)=FALSE,K11,10*LOG(1/(1/10^(K11/10)+1/(10^(J15/10)*10^(K8/10)))))))</f>
        <v>59.7342748687864</v>
      </c>
      <c r="L15" s="16">
        <f>IF(OR($D$4:L$4)=FALSE,"",IF(L$4=FALSE,K15,IF(OR($D$4:K$4)=FALSE,L11,10*LOG(1/(1/10^(L11/10)+1/(10^(K15/10)*10^(L8/10)))))))</f>
        <v>59.7342748687864</v>
      </c>
      <c r="M15" s="16">
        <f>IF(OR($D$4:M$4)=FALSE,"",IF(M$4=FALSE,L15,IF(OR($D$4:L$4)=FALSE,M11,10*LOG(1/(1/10^(M11/10)+1/(10^(L15/10)*10^(M8/10)))))))</f>
        <v>59.7342748687864</v>
      </c>
      <c r="N15" s="16">
        <f>IF(OR($D$4:N$4)=FALSE,"",IF(N$4=FALSE,M15,IF(OR($D$4:M$4)=FALSE,N11,10*LOG(1/(1/10^(N11/10)+1/(10^(M15/10)*10^(N8/10)))))))</f>
        <v>59.7342748687864</v>
      </c>
      <c r="O15" s="16">
        <f>IF(OR($D$4:O$4)=FALSE,"",IF(O$4=FALSE,N15,IF(OR($D$4:N$4)=FALSE,O11,10*LOG(1/(1/10^(O11/10)+1/(10^(N15/10)*10^(O8/10)))))))</f>
        <v>59.7342748687864</v>
      </c>
      <c r="P15" s="16">
        <f>IF(OR($D$4:P$4)=FALSE,"",IF(P$4=FALSE,O15,IF(OR($D$4:O$4)=FALSE,P11,10*LOG(1/(1/10^(P11/10)+1/(10^(O15/10)*10^(P8/10)))))))</f>
        <v>59.7342748687864</v>
      </c>
      <c r="Q15" s="16">
        <f>IF(OR($D$4:Q$4)=FALSE,"",IF(Q$4=FALSE,P15,IF(OR($D$4:P$4)=FALSE,Q11,10*LOG(1/(1/10^(Q11/10)+1/(10^(P15/10)*10^(Q8/10)))))))</f>
        <v>59.7342748687864</v>
      </c>
      <c r="R15" s="16">
        <f>IF(OR($D$4:R$4)=FALSE,"",IF(R$4=FALSE,Q15,IF(OR($D$4:Q$4)=FALSE,R11,10*LOG(1/(1/10^(R11/10)+1/(10^(Q15/10)*10^(R8/10)))))))</f>
        <v>59.7342748687864</v>
      </c>
      <c r="S15" s="6"/>
      <c r="T15" s="6"/>
      <c r="U15" s="6"/>
      <c r="V15" s="6"/>
    </row>
    <row r="16" spans="1:25" ht="17.25" thickTop="1" x14ac:dyDescent="0.15">
      <c r="A16" s="6"/>
      <c r="B16" s="37" t="s">
        <v>37</v>
      </c>
      <c r="C16" s="38" t="s">
        <v>3</v>
      </c>
      <c r="D16" s="14">
        <f>IF(AND(D4&lt;&gt;FALSE,G23&lt;&gt;""),G23,"")</f>
        <v>-50</v>
      </c>
      <c r="E16" s="11">
        <f>IF(OR($D$4:E$4)=FALSE,"",IF(E$4=FALSE,D16,IF(OR($D$4:D$4)=FALSE,$G$23,D17)))</f>
        <v>-50.67</v>
      </c>
      <c r="F16" s="11">
        <f>IF(OR($D$4:F$4)=FALSE,"",IF(F$4=FALSE,E16,IF(OR($D$4:E$4)=FALSE,$G$23,E17)))</f>
        <v>-52.47</v>
      </c>
      <c r="G16" s="11">
        <f>IF(OR($D$4:G$4)=FALSE,"",IF(G$4=FALSE,F16,IF(OR($D$4:F$4)=FALSE,$G$23,F17)))</f>
        <v>-53.57</v>
      </c>
      <c r="H16" s="11">
        <f>IF(OR($D$4:H$4)=FALSE,"",IF(H$4=FALSE,G16,IF(OR($D$4:G$4)=FALSE,$G$23,G17)))</f>
        <v>-38.57</v>
      </c>
      <c r="I16" s="11">
        <f>IF(OR($D$4:I$4)=FALSE,"",IF(I$4=FALSE,H16,IF(OR($D$4:H$4)=FALSE,$G$23,H17)))</f>
        <v>-38.57</v>
      </c>
      <c r="J16" s="11">
        <f>IF(OR($D$4:J$4)=FALSE,"",IF(J$4=FALSE,I16,IF(OR($D$4:I$4)=FALSE,$G$23,I17)))</f>
        <v>-38.57</v>
      </c>
      <c r="K16" s="11">
        <f>IF(OR($D$4:K$4)=FALSE,"",IF(K$4=FALSE,J16,IF(OR($D$4:J$4)=FALSE,$G$23,J17)))</f>
        <v>-38.57</v>
      </c>
      <c r="L16" s="11">
        <f>IF(OR($D$4:L$4)=FALSE,"",IF(L$4=FALSE,K16,IF(OR($D$4:K$4)=FALSE,$G$23,K17)))</f>
        <v>-38.57</v>
      </c>
      <c r="M16" s="11">
        <f>IF(OR($D$4:M$4)=FALSE,"",IF(M$4=FALSE,L16,IF(OR($D$4:L$4)=FALSE,$G$23,L17)))</f>
        <v>-38.57</v>
      </c>
      <c r="N16" s="11">
        <f>IF(OR($D$4:N$4)=FALSE,"",IF(N$4=FALSE,M16,IF(OR($D$4:M$4)=FALSE,$G$23,M17)))</f>
        <v>-38.57</v>
      </c>
      <c r="O16" s="11">
        <f>IF(OR($D$4:O$4)=FALSE,"",IF(O$4=FALSE,N16,IF(OR($D$4:N$4)=FALSE,$G$23,N17)))</f>
        <v>-38.57</v>
      </c>
      <c r="P16" s="11">
        <f>IF(OR($D$4:P$4)=FALSE,"",IF(P$4=FALSE,O16,IF(OR($D$4:O$4)=FALSE,$G$23,O17)))</f>
        <v>-38.57</v>
      </c>
      <c r="Q16" s="11">
        <f>IF(OR($D$4:Q$4)=FALSE,"",IF(Q$4=FALSE,P16,IF(OR($D$4:P$4)=FALSE,$G$23,P17)))</f>
        <v>-38.57</v>
      </c>
      <c r="R16" s="11">
        <f>IF(OR($D$4:R$4)=FALSE,"",IF(R$4=FALSE,Q16,IF(OR($D$4:Q$4)=FALSE,$G$23,Q17)))</f>
        <v>-38.57</v>
      </c>
      <c r="S16" s="6"/>
      <c r="T16" s="6"/>
      <c r="U16" s="6"/>
      <c r="V16" s="6"/>
    </row>
    <row r="17" spans="1:22" x14ac:dyDescent="0.15">
      <c r="A17" s="6"/>
      <c r="B17" s="25" t="s">
        <v>8</v>
      </c>
      <c r="C17" s="26" t="s">
        <v>3</v>
      </c>
      <c r="D17" s="12">
        <f>IF(AND(D4&lt;&gt;FALSE,D8&lt;&gt;"",D16&lt;&gt;""),D16+D8,"")</f>
        <v>-50.67</v>
      </c>
      <c r="E17" s="10">
        <f>IF(AND(E4&lt;&gt;FALSE,E16&lt;&gt;"",E16&lt;&gt;""),E8+E16,D17)</f>
        <v>-52.47</v>
      </c>
      <c r="F17" s="10">
        <f t="shared" ref="F17:M17" si="0">IF(AND(F4&lt;&gt;FALSE,F16&lt;&gt;"",F16&lt;&gt;""),F8+F16,E17)</f>
        <v>-53.57</v>
      </c>
      <c r="G17" s="10">
        <f t="shared" si="0"/>
        <v>-38.57</v>
      </c>
      <c r="H17" s="10">
        <f t="shared" si="0"/>
        <v>17.43</v>
      </c>
      <c r="I17" s="10">
        <f t="shared" si="0"/>
        <v>17.43</v>
      </c>
      <c r="J17" s="10">
        <f t="shared" si="0"/>
        <v>17.43</v>
      </c>
      <c r="K17" s="10">
        <f t="shared" si="0"/>
        <v>17.43</v>
      </c>
      <c r="L17" s="10">
        <f t="shared" si="0"/>
        <v>17.43</v>
      </c>
      <c r="M17" s="10">
        <f t="shared" si="0"/>
        <v>17.43</v>
      </c>
      <c r="N17" s="10">
        <f>IF(AND(N4&lt;&gt;FALSE,N16&lt;&gt;"",N16&lt;&gt;""),N8+N16,M17)</f>
        <v>17.43</v>
      </c>
      <c r="O17" s="10">
        <f>IF(AND(O4&lt;&gt;FALSE,O16&lt;&gt;"",O16&lt;&gt;""),O8+O16,N17)</f>
        <v>17.43</v>
      </c>
      <c r="P17" s="10">
        <f>IF(AND(P4&lt;&gt;FALSE,P16&lt;&gt;"",P16&lt;&gt;""),P8+P16,O17)</f>
        <v>17.43</v>
      </c>
      <c r="Q17" s="10">
        <f>IF(AND(Q4&lt;&gt;FALSE,Q16&lt;&gt;"",Q16&lt;&gt;""),Q8+Q16,P17)</f>
        <v>17.43</v>
      </c>
      <c r="R17" s="10">
        <f>IF(AND(R4&lt;&gt;FALSE,R16&lt;&gt;"",R16&lt;&gt;""),R8+R16,Q17)</f>
        <v>17.43</v>
      </c>
      <c r="S17" s="6"/>
      <c r="T17" s="6"/>
      <c r="U17" s="6"/>
      <c r="V17" s="6"/>
    </row>
    <row r="18" spans="1:22" x14ac:dyDescent="0.15">
      <c r="A18" s="6"/>
      <c r="B18" s="27" t="s">
        <v>9</v>
      </c>
      <c r="C18" s="28" t="s">
        <v>1</v>
      </c>
      <c r="D18" s="12">
        <f>IF(AND(D4&lt;&gt;FALSE,D10&lt;&gt;"",D17&lt;&gt;""),D10-D17,"")</f>
        <v>110.67</v>
      </c>
      <c r="E18" s="10">
        <f>IF(AND(E4&lt;&gt;FALSE,E10&lt;&gt;"",E17&lt;&gt;""),E10-E17,D18)</f>
        <v>112.47</v>
      </c>
      <c r="F18" s="10">
        <f t="shared" ref="F18:M18" si="1">IF(AND(F4&lt;&gt;FALSE,F10&lt;&gt;"",F17&lt;&gt;""),F10-F17,E18)</f>
        <v>113.57</v>
      </c>
      <c r="G18" s="10">
        <f t="shared" si="1"/>
        <v>53.57</v>
      </c>
      <c r="H18" s="10">
        <f t="shared" si="1"/>
        <v>42.57</v>
      </c>
      <c r="I18" s="10">
        <f t="shared" si="1"/>
        <v>42.57</v>
      </c>
      <c r="J18" s="10">
        <f t="shared" si="1"/>
        <v>42.57</v>
      </c>
      <c r="K18" s="10">
        <f t="shared" si="1"/>
        <v>42.57</v>
      </c>
      <c r="L18" s="10">
        <f t="shared" si="1"/>
        <v>42.57</v>
      </c>
      <c r="M18" s="10" t="e">
        <f t="shared" si="1"/>
        <v>#N/A</v>
      </c>
      <c r="N18" s="10" t="e">
        <f>IF(AND(N4&lt;&gt;FALSE,N10&lt;&gt;"",N17&lt;&gt;""),N10-N17,M18)</f>
        <v>#N/A</v>
      </c>
      <c r="O18" s="10" t="e">
        <f>IF(AND(O4&lt;&gt;FALSE,O10&lt;&gt;"",O17&lt;&gt;""),O10-O17,N18)</f>
        <v>#N/A</v>
      </c>
      <c r="P18" s="10" t="e">
        <f>IF(AND(P4&lt;&gt;FALSE,P10&lt;&gt;"",P17&lt;&gt;""),P10-P17,O18)</f>
        <v>#N/A</v>
      </c>
      <c r="Q18" s="10" t="e">
        <f>IF(AND(Q4&lt;&gt;FALSE,Q10&lt;&gt;"",Q17&lt;&gt;""),Q10-Q17,P18)</f>
        <v>#N/A</v>
      </c>
      <c r="R18" s="10" t="e">
        <f>IF(AND(R4&lt;&gt;FALSE,R10&lt;&gt;"",R17&lt;&gt;""),R10-R17,Q18)</f>
        <v>#N/A</v>
      </c>
      <c r="S18" s="6"/>
      <c r="T18" s="6"/>
      <c r="U18" s="6"/>
      <c r="V18" s="6"/>
    </row>
    <row r="19" spans="1:22" x14ac:dyDescent="0.15">
      <c r="A19" s="6"/>
      <c r="B19" s="25" t="s">
        <v>10</v>
      </c>
      <c r="C19" s="26" t="s">
        <v>42</v>
      </c>
      <c r="D19" s="12">
        <f>IF(AND(D4&lt;&gt;FALSE,D15&lt;&gt;"",D17&lt;&gt;""),2*(D15-D17),"")</f>
        <v>221.34</v>
      </c>
      <c r="E19" s="10">
        <f>IF(AND(E4&lt;&gt;FALSE,E15&lt;&gt;"",E17&lt;&gt;""),2*(E15-E17),D19)</f>
        <v>216.93421055537587</v>
      </c>
      <c r="F19" s="10">
        <f>IF(AND(F4&lt;&gt;FALSE,F15&lt;&gt;"",F17&lt;&gt;""),2*(F15-F17),E19)</f>
        <v>214.59658798883524</v>
      </c>
      <c r="G19" s="10">
        <f>IF(AND(G4&lt;&gt;FALSE,G15&lt;&gt;"",G17&lt;&gt;""),2*(G15-G17),F19)</f>
        <v>109.13995365704218</v>
      </c>
      <c r="H19" s="10">
        <f>IF(AND(H4&lt;&gt;FALSE,H15&lt;&gt;"",H17&lt;&gt;""),2*(H15-H17),G19)</f>
        <v>84.608549737572801</v>
      </c>
      <c r="I19" s="10">
        <f t="shared" ref="I19:R19" si="2">IF(AND(I4&lt;&gt;FALSE,I15&lt;&gt;"",I17&lt;&gt;""),2*(I15-I17),H19)</f>
        <v>84.608549737572801</v>
      </c>
      <c r="J19" s="10">
        <f t="shared" si="2"/>
        <v>84.608549737572801</v>
      </c>
      <c r="K19" s="10">
        <f t="shared" si="2"/>
        <v>84.608549737572801</v>
      </c>
      <c r="L19" s="10">
        <f t="shared" si="2"/>
        <v>84.608549737572801</v>
      </c>
      <c r="M19" s="10">
        <f t="shared" si="2"/>
        <v>84.608549737572801</v>
      </c>
      <c r="N19" s="10">
        <f t="shared" si="2"/>
        <v>84.608549737572801</v>
      </c>
      <c r="O19" s="10">
        <f t="shared" si="2"/>
        <v>84.608549737572801</v>
      </c>
      <c r="P19" s="10">
        <f t="shared" si="2"/>
        <v>84.608549737572801</v>
      </c>
      <c r="Q19" s="10">
        <f t="shared" si="2"/>
        <v>84.608549737572801</v>
      </c>
      <c r="R19" s="10">
        <f t="shared" si="2"/>
        <v>84.608549737572801</v>
      </c>
      <c r="S19" s="6"/>
      <c r="T19" s="6"/>
      <c r="U19" s="6"/>
      <c r="V19" s="6"/>
    </row>
    <row r="20" spans="1:22" x14ac:dyDescent="0.15">
      <c r="A20" s="6"/>
      <c r="B20" s="39" t="s">
        <v>13</v>
      </c>
      <c r="C20" s="40" t="s">
        <v>1</v>
      </c>
      <c r="D20" s="12">
        <f>IF(AND(D4&lt;&gt;FALSE,D15&lt;&gt;"",D17&lt;&gt;"",$G$28&lt;&gt;""),-20.75+1.6*$G$28+2*(D17-D15),"")</f>
        <v>-226.09</v>
      </c>
      <c r="E20" s="10">
        <f>IF(AND(E4&lt;&gt;FALSE,E15&lt;&gt;"",E17&lt;&gt;"",$G$28&lt;&gt;""),-20.75+1.6*$G$28+2*(E17-E15),D20)</f>
        <v>-221.68421055537587</v>
      </c>
      <c r="F20" s="10">
        <f t="shared" ref="F20:M20" si="3">IF(AND(F4&lt;&gt;FALSE,F15&lt;&gt;"",F17&lt;&gt;"",$G$28&lt;&gt;""),-20.75+1.6*$G$28+2*(F17-F15),E20)</f>
        <v>-219.34658798883524</v>
      </c>
      <c r="G20" s="10">
        <f t="shared" si="3"/>
        <v>-113.88995365704218</v>
      </c>
      <c r="H20" s="10">
        <f t="shared" si="3"/>
        <v>-89.358549737572801</v>
      </c>
      <c r="I20" s="10">
        <f t="shared" si="3"/>
        <v>-89.358549737572801</v>
      </c>
      <c r="J20" s="10">
        <f t="shared" si="3"/>
        <v>-89.358549737572801</v>
      </c>
      <c r="K20" s="10">
        <f t="shared" si="3"/>
        <v>-89.358549737572801</v>
      </c>
      <c r="L20" s="10">
        <f t="shared" si="3"/>
        <v>-89.358549737572801</v>
      </c>
      <c r="M20" s="10">
        <f t="shared" si="3"/>
        <v>-89.358549737572801</v>
      </c>
      <c r="N20" s="10">
        <f>IF(AND(N4&lt;&gt;FALSE,N15&lt;&gt;"",N17&lt;&gt;"",$G$28&lt;&gt;""),-20.75+1.6*$G$28+2*(N17-N15),M20)</f>
        <v>-89.358549737572801</v>
      </c>
      <c r="O20" s="10">
        <f>IF(AND(O4&lt;&gt;FALSE,O15&lt;&gt;"",O17&lt;&gt;"",$G$28&lt;&gt;""),-20.75+1.6*$G$28+2*(O17-O15),N20)</f>
        <v>-89.358549737572801</v>
      </c>
      <c r="P20" s="10">
        <f>IF(AND(P4&lt;&gt;FALSE,P15&lt;&gt;"",P17&lt;&gt;"",$G$28&lt;&gt;""),-20.75+1.6*$G$28+2*(P17-P15),O20)</f>
        <v>-89.358549737572801</v>
      </c>
      <c r="Q20" s="10">
        <f>IF(AND(Q4&lt;&gt;FALSE,Q15&lt;&gt;"",Q17&lt;&gt;"",$G$28&lt;&gt;""),-20.75+1.6*$G$28+2*(Q17-Q15),P20)</f>
        <v>-89.358549737572801</v>
      </c>
      <c r="R20" s="10">
        <f>IF(AND(R4&lt;&gt;FALSE,R15&lt;&gt;"",R17&lt;&gt;"",$G$28&lt;&gt;""),-20.75+1.6*$G$28+2*(R17-R15),Q20)</f>
        <v>-89.358549737572801</v>
      </c>
      <c r="S20" s="6"/>
      <c r="T20" s="6"/>
      <c r="U20" s="6"/>
      <c r="V20" s="6"/>
    </row>
    <row r="21" spans="1:22" x14ac:dyDescent="0.15">
      <c r="A21" s="6"/>
      <c r="B21" s="7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</row>
    <row r="22" spans="1:22" x14ac:dyDescent="0.15">
      <c r="A22" s="6"/>
      <c r="B22"/>
      <c r="C22"/>
      <c r="D22" s="74" t="s">
        <v>11</v>
      </c>
      <c r="E22" s="74"/>
      <c r="F22" s="74"/>
      <c r="G22" s="74"/>
      <c r="H22" s="17"/>
      <c r="I22" s="68" t="s">
        <v>48</v>
      </c>
      <c r="J22" s="69"/>
      <c r="K22" s="69"/>
      <c r="L22" s="69"/>
      <c r="M22" s="70"/>
      <c r="N22" s="6"/>
      <c r="O22" s="65" t="s">
        <v>19</v>
      </c>
      <c r="P22" s="66"/>
      <c r="Q22" s="66"/>
      <c r="R22" s="67"/>
      <c r="S22" s="6"/>
      <c r="T22" s="6"/>
      <c r="U22" s="6"/>
      <c r="V22" s="6"/>
    </row>
    <row r="23" spans="1:22" x14ac:dyDescent="0.15">
      <c r="A23" s="6"/>
      <c r="B23"/>
      <c r="C23"/>
      <c r="D23" s="75" t="s">
        <v>37</v>
      </c>
      <c r="E23" s="75"/>
      <c r="F23" s="19" t="s">
        <v>3</v>
      </c>
      <c r="G23" s="20">
        <v>-50</v>
      </c>
      <c r="H23" s="6"/>
      <c r="I23" s="74" t="s">
        <v>16</v>
      </c>
      <c r="J23" s="74"/>
      <c r="K23" s="74"/>
      <c r="L23" s="19" t="s">
        <v>3</v>
      </c>
      <c r="M23" s="12">
        <f>IF(AND(G25&lt;&gt;"",G27&lt;&gt;"",G26&lt;&gt;""),10*LOG(1.3806505*10^(-20)*G25*10^6*G27)+LOOKUP(9E+307,13:13)+G26,"")</f>
        <v>-100.92976758737601</v>
      </c>
      <c r="N23" s="6"/>
      <c r="O23" s="76" t="s">
        <v>21</v>
      </c>
      <c r="P23" s="77"/>
      <c r="Q23" s="77"/>
      <c r="R23" s="78"/>
      <c r="S23" s="6"/>
      <c r="T23" s="6"/>
      <c r="U23" s="6"/>
      <c r="V23" s="6"/>
    </row>
    <row r="24" spans="1:22" x14ac:dyDescent="0.15">
      <c r="A24" s="6"/>
      <c r="B24"/>
      <c r="C24"/>
      <c r="D24" s="75" t="s">
        <v>14</v>
      </c>
      <c r="E24" s="75"/>
      <c r="F24" s="19" t="s">
        <v>1</v>
      </c>
      <c r="G24" s="20">
        <v>10</v>
      </c>
      <c r="H24" s="6"/>
      <c r="I24" s="74" t="s">
        <v>17</v>
      </c>
      <c r="J24" s="74"/>
      <c r="K24" s="74"/>
      <c r="L24" s="19" t="s">
        <v>49</v>
      </c>
      <c r="M24" s="12">
        <f>IF(AND(G27&lt;&gt;""),10*LOG(1.3806505*10^(-20)*G27)+LOOKUP(9E+307,13:13),"")</f>
        <v>-169.47219268176926</v>
      </c>
      <c r="N24" s="6"/>
      <c r="O24" s="76" t="s">
        <v>51</v>
      </c>
      <c r="P24" s="77"/>
      <c r="Q24" s="77"/>
      <c r="R24" s="78"/>
      <c r="S24" s="6"/>
      <c r="T24" s="6"/>
      <c r="U24" s="6"/>
      <c r="V24" s="6"/>
    </row>
    <row r="25" spans="1:22" x14ac:dyDescent="0.15">
      <c r="A25" s="6"/>
      <c r="B25"/>
      <c r="C25"/>
      <c r="D25" s="75" t="s">
        <v>43</v>
      </c>
      <c r="E25" s="75"/>
      <c r="F25" s="19" t="s">
        <v>25</v>
      </c>
      <c r="G25" s="20">
        <v>9</v>
      </c>
      <c r="H25" s="6"/>
      <c r="I25" s="74" t="s">
        <v>22</v>
      </c>
      <c r="J25" s="74"/>
      <c r="K25" s="74"/>
      <c r="L25" s="19" t="s">
        <v>20</v>
      </c>
      <c r="M25" s="12">
        <f>IF(AND(M24&lt;&gt;""),M24+LOOKUP(9E+307,12:12),"")</f>
        <v>-102.04219268176925</v>
      </c>
      <c r="N25" s="6"/>
      <c r="O25" s="76" t="s">
        <v>33</v>
      </c>
      <c r="P25" s="77"/>
      <c r="Q25" s="77"/>
      <c r="R25" s="78"/>
      <c r="S25" s="6"/>
      <c r="T25" s="6"/>
      <c r="U25" s="6"/>
      <c r="V25" s="6"/>
    </row>
    <row r="26" spans="1:22" x14ac:dyDescent="0.15">
      <c r="A26" s="6"/>
      <c r="B26"/>
      <c r="C26"/>
      <c r="D26" s="75" t="s">
        <v>44</v>
      </c>
      <c r="E26" s="75"/>
      <c r="F26" s="19" t="s">
        <v>1</v>
      </c>
      <c r="G26" s="20">
        <v>-1</v>
      </c>
      <c r="H26" s="6"/>
      <c r="I26" s="74" t="s">
        <v>15</v>
      </c>
      <c r="J26" s="74"/>
      <c r="K26" s="74"/>
      <c r="L26" s="19" t="s">
        <v>20</v>
      </c>
      <c r="M26" s="12">
        <f>IF(AND(G25&lt;&gt;"",G27&lt;&gt;""),10*LOG(1.3806505*10^(-20)*G25*10^6*G27)+LOOKUP(9E+307,13:13),"")</f>
        <v>-99.929767587376006</v>
      </c>
      <c r="N26" s="6"/>
      <c r="O26" s="76" t="s">
        <v>34</v>
      </c>
      <c r="P26" s="77"/>
      <c r="Q26" s="77"/>
      <c r="R26" s="78"/>
      <c r="S26" s="6"/>
      <c r="T26" s="6"/>
      <c r="U26" s="6"/>
      <c r="V26" s="6"/>
    </row>
    <row r="27" spans="1:22" x14ac:dyDescent="0.15">
      <c r="A27" s="6"/>
      <c r="B27"/>
      <c r="C27"/>
      <c r="D27" s="75" t="s">
        <v>45</v>
      </c>
      <c r="E27" s="75"/>
      <c r="F27" s="19" t="s">
        <v>46</v>
      </c>
      <c r="G27" s="20">
        <v>298</v>
      </c>
      <c r="H27" s="6"/>
      <c r="I27" s="74" t="s">
        <v>18</v>
      </c>
      <c r="J27" s="74"/>
      <c r="K27" s="74"/>
      <c r="L27" s="19" t="s">
        <v>20</v>
      </c>
      <c r="M27" s="12">
        <f>IF(AND(M26&lt;&gt;""),M26+LOOKUP(9E+307,12:12),"")</f>
        <v>-32.499767587375999</v>
      </c>
      <c r="N27" s="6"/>
      <c r="O27" s="76" t="s">
        <v>23</v>
      </c>
      <c r="P27" s="77"/>
      <c r="Q27" s="77"/>
      <c r="R27" s="78"/>
      <c r="S27" s="6"/>
      <c r="T27" s="6"/>
      <c r="U27" s="6"/>
      <c r="V27" s="6"/>
    </row>
    <row r="28" spans="1:22" x14ac:dyDescent="0.15">
      <c r="A28" s="6"/>
      <c r="B28"/>
      <c r="C28"/>
      <c r="D28" s="75" t="s">
        <v>12</v>
      </c>
      <c r="E28" s="75"/>
      <c r="F28" s="19" t="s">
        <v>1</v>
      </c>
      <c r="G28" s="20">
        <v>10</v>
      </c>
      <c r="H28" s="6"/>
      <c r="I28" s="74" t="s">
        <v>50</v>
      </c>
      <c r="J28" s="74"/>
      <c r="K28" s="74"/>
      <c r="L28" s="19" t="s">
        <v>1</v>
      </c>
      <c r="M28" s="12">
        <f>G23-M26</f>
        <v>49.929767587376006</v>
      </c>
      <c r="N28" s="6"/>
      <c r="O28" s="76" t="s">
        <v>35</v>
      </c>
      <c r="P28" s="77"/>
      <c r="Q28" s="77"/>
      <c r="R28" s="78"/>
      <c r="S28" s="6"/>
      <c r="T28" s="6"/>
      <c r="U28" s="6"/>
      <c r="V28" s="6"/>
    </row>
    <row r="29" spans="1:22" x14ac:dyDescent="0.15">
      <c r="A29" s="6"/>
      <c r="B29"/>
      <c r="C29"/>
      <c r="D29" s="75" t="s">
        <v>28</v>
      </c>
      <c r="E29" s="75"/>
      <c r="F29" s="19"/>
      <c r="G29" s="20" t="s">
        <v>26</v>
      </c>
      <c r="H29" s="9"/>
      <c r="I29" s="74" t="s">
        <v>27</v>
      </c>
      <c r="J29" s="74"/>
      <c r="K29" s="74"/>
      <c r="L29" s="19"/>
      <c r="M29" s="18" t="str">
        <f>IF(G29="是",IF(LOOKUP(9E+307,17:17)&gt;G31,"起控","未起控"),"无效")</f>
        <v>起控</v>
      </c>
      <c r="N29" s="8"/>
      <c r="O29" s="8"/>
      <c r="P29" s="8"/>
      <c r="Q29" s="8"/>
      <c r="R29" s="8"/>
      <c r="S29" s="8"/>
      <c r="T29" s="8"/>
      <c r="U29" s="8"/>
      <c r="V29" s="6"/>
    </row>
    <row r="30" spans="1:22" s="3" customFormat="1" x14ac:dyDescent="0.15">
      <c r="A30" s="8"/>
      <c r="B30" s="8"/>
      <c r="C30" s="6"/>
      <c r="D30" s="75" t="s">
        <v>60</v>
      </c>
      <c r="E30" s="75"/>
      <c r="F30" s="19"/>
      <c r="G30" s="20">
        <v>6</v>
      </c>
      <c r="H30" s="8"/>
      <c r="I30" s="74" t="s">
        <v>32</v>
      </c>
      <c r="J30" s="74"/>
      <c r="K30" s="74"/>
      <c r="L30" s="19" t="s">
        <v>1</v>
      </c>
      <c r="M30" s="12">
        <f>LOOKUP(9E+307,17:17)-G31</f>
        <v>0.42999999999999972</v>
      </c>
      <c r="N30" s="8"/>
      <c r="O30" s="8"/>
      <c r="P30" s="8"/>
      <c r="Q30" s="8"/>
      <c r="R30" s="8"/>
      <c r="S30" s="8"/>
      <c r="T30" s="8"/>
      <c r="U30" s="8"/>
      <c r="V30" s="8"/>
    </row>
    <row r="31" spans="1:22" s="3" customFormat="1" x14ac:dyDescent="0.15">
      <c r="A31" s="8"/>
      <c r="B31" s="8"/>
      <c r="C31" s="6"/>
      <c r="D31" s="75" t="s">
        <v>47</v>
      </c>
      <c r="E31" s="75"/>
      <c r="F31" s="19" t="s">
        <v>3</v>
      </c>
      <c r="G31" s="20">
        <v>17</v>
      </c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</row>
    <row r="32" spans="1:22" s="3" customFormat="1" x14ac:dyDescent="0.15">
      <c r="A32" s="8"/>
      <c r="B32" s="8"/>
      <c r="C32" s="6"/>
      <c r="D32" s="8" t="s">
        <v>68</v>
      </c>
      <c r="E32" s="8"/>
      <c r="F32" s="8"/>
      <c r="G32" s="6">
        <v>65</v>
      </c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</row>
    <row r="33" spans="1:22" s="3" customFormat="1" x14ac:dyDescent="0.15">
      <c r="A33" s="8"/>
      <c r="B33" s="8"/>
      <c r="C33" s="6"/>
      <c r="D33"/>
      <c r="E33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</row>
    <row r="34" spans="1:22" s="3" customFormat="1" x14ac:dyDescent="0.15">
      <c r="A34" s="8"/>
      <c r="B34" s="8"/>
      <c r="C34" s="6"/>
      <c r="D34"/>
      <c r="E34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</row>
    <row r="35" spans="1:22" s="3" customFormat="1" x14ac:dyDescent="0.15">
      <c r="A35" s="8"/>
      <c r="B35" s="8"/>
      <c r="C35" s="6"/>
      <c r="D35"/>
      <c r="E35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</row>
    <row r="36" spans="1:22" s="3" customFormat="1" x14ac:dyDescent="0.15">
      <c r="C36" s="6"/>
      <c r="D36"/>
      <c r="E36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</row>
    <row r="37" spans="1:22" s="3" customFormat="1" x14ac:dyDescent="0.15">
      <c r="C37" s="2"/>
      <c r="D37"/>
      <c r="E37"/>
      <c r="F37" s="8"/>
      <c r="G37" s="8"/>
    </row>
    <row r="38" spans="1:22" s="3" customFormat="1" x14ac:dyDescent="0.15">
      <c r="C38" s="2"/>
      <c r="D38"/>
      <c r="E38"/>
    </row>
    <row r="39" spans="1:22" s="3" customFormat="1" x14ac:dyDescent="0.15">
      <c r="C39" s="2"/>
      <c r="D39"/>
      <c r="E39"/>
    </row>
    <row r="40" spans="1:22" x14ac:dyDescent="0.15">
      <c r="B40" s="2"/>
      <c r="D40" s="3"/>
      <c r="E40" s="3"/>
      <c r="G40" s="3"/>
      <c r="J40" s="3"/>
      <c r="K40" s="3"/>
      <c r="L40" s="3"/>
      <c r="M40" s="3"/>
      <c r="N40" s="3"/>
      <c r="O40" s="3"/>
      <c r="P40" s="3"/>
    </row>
    <row r="41" spans="1:22" x14ac:dyDescent="0.15">
      <c r="J41" s="3"/>
      <c r="K41" s="3"/>
      <c r="L41" s="3"/>
      <c r="M41" s="3"/>
      <c r="N41" s="3"/>
    </row>
  </sheetData>
  <mergeCells count="27">
    <mergeCell ref="B1:C3"/>
    <mergeCell ref="D22:G22"/>
    <mergeCell ref="I22:M22"/>
    <mergeCell ref="O22:R22"/>
    <mergeCell ref="D23:E23"/>
    <mergeCell ref="I23:K23"/>
    <mergeCell ref="O23:R23"/>
    <mergeCell ref="D24:E24"/>
    <mergeCell ref="I24:K24"/>
    <mergeCell ref="O24:R24"/>
    <mergeCell ref="D25:E25"/>
    <mergeCell ref="I25:K25"/>
    <mergeCell ref="O25:R25"/>
    <mergeCell ref="D26:E26"/>
    <mergeCell ref="I26:K26"/>
    <mergeCell ref="O26:R26"/>
    <mergeCell ref="D27:E27"/>
    <mergeCell ref="I27:K27"/>
    <mergeCell ref="O27:R27"/>
    <mergeCell ref="D31:E31"/>
    <mergeCell ref="D28:E28"/>
    <mergeCell ref="I28:K28"/>
    <mergeCell ref="O28:R28"/>
    <mergeCell ref="D29:E29"/>
    <mergeCell ref="I29:K29"/>
    <mergeCell ref="D30:E30"/>
    <mergeCell ref="I30:K30"/>
  </mergeCells>
  <phoneticPr fontId="16" type="noConversion"/>
  <conditionalFormatting sqref="D18:R18">
    <cfRule type="cellIs" dxfId="80" priority="11" operator="lessThan">
      <formula>$G24</formula>
    </cfRule>
  </conditionalFormatting>
  <conditionalFormatting sqref="D5:R11">
    <cfRule type="expression" dxfId="79" priority="10">
      <formula>D$4=FALSE</formula>
    </cfRule>
  </conditionalFormatting>
  <conditionalFormatting sqref="M29">
    <cfRule type="cellIs" dxfId="78" priority="8" operator="equal">
      <formula>"未起控"</formula>
    </cfRule>
    <cfRule type="cellIs" dxfId="77" priority="9" operator="equal">
      <formula>"起控"</formula>
    </cfRule>
  </conditionalFormatting>
  <conditionalFormatting sqref="D12:R20">
    <cfRule type="expression" dxfId="76" priority="3">
      <formula>D$4=FALSE</formula>
    </cfRule>
  </conditionalFormatting>
  <conditionalFormatting sqref="D4:I4 K4:R4">
    <cfRule type="cellIs" dxfId="75" priority="6" operator="equal">
      <formula>FALSE</formula>
    </cfRule>
    <cfRule type="cellIs" dxfId="74" priority="7" operator="equal">
      <formula>TRUE</formula>
    </cfRule>
  </conditionalFormatting>
  <conditionalFormatting sqref="J4">
    <cfRule type="cellIs" dxfId="73" priority="4" operator="equal">
      <formula>FALSE</formula>
    </cfRule>
    <cfRule type="cellIs" dxfId="72" priority="5" operator="equal">
      <formula>TRUE</formula>
    </cfRule>
  </conditionalFormatting>
  <conditionalFormatting sqref="N13">
    <cfRule type="expression" dxfId="71" priority="1" stopIfTrue="1">
      <formula>$H$24&lt;0</formula>
    </cfRule>
    <cfRule type="expression" dxfId="70" priority="2">
      <formula>$H$24&gt;0</formula>
    </cfRule>
  </conditionalFormatting>
  <pageMargins left="0.7" right="0.7" top="0.75" bottom="0.75" header="0.3" footer="0.3"/>
  <pageSetup paperSize="9" scale="49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86073" r:id="rId4" name="交换">
          <controlPr autoLine="0" r:id="rId5">
            <anchor moveWithCells="1">
              <from>
                <xdr:col>0</xdr:col>
                <xdr:colOff>66675</xdr:colOff>
                <xdr:row>2</xdr:row>
                <xdr:rowOff>200025</xdr:rowOff>
              </from>
              <to>
                <xdr:col>1</xdr:col>
                <xdr:colOff>0</xdr:colOff>
                <xdr:row>4</xdr:row>
                <xdr:rowOff>57150</xdr:rowOff>
              </to>
            </anchor>
          </controlPr>
        </control>
      </mc:Choice>
      <mc:Fallback>
        <control shapeId="86073" r:id="rId4" name="交换"/>
      </mc:Fallback>
    </mc:AlternateContent>
    <mc:AlternateContent xmlns:mc="http://schemas.openxmlformats.org/markup-compatibility/2006">
      <mc:Choice Requires="x14">
        <control shapeId="86074" r:id="rId6" name="stage2">
          <controlPr autoLine="0" r:id="rId7">
            <anchor moveWithCells="1">
              <from>
                <xdr:col>0</xdr:col>
                <xdr:colOff>66675</xdr:colOff>
                <xdr:row>5</xdr:row>
                <xdr:rowOff>104775</xdr:rowOff>
              </from>
              <to>
                <xdr:col>1</xdr:col>
                <xdr:colOff>0</xdr:colOff>
                <xdr:row>6</xdr:row>
                <xdr:rowOff>142875</xdr:rowOff>
              </to>
            </anchor>
          </controlPr>
        </control>
      </mc:Choice>
      <mc:Fallback>
        <control shapeId="86074" r:id="rId6" name="stage2"/>
      </mc:Fallback>
    </mc:AlternateContent>
    <mc:AlternateContent xmlns:mc="http://schemas.openxmlformats.org/markup-compatibility/2006">
      <mc:Choice Requires="x14">
        <control shapeId="86075" r:id="rId8" name="stage_num_set">
          <controlPr autoLine="0" r:id="rId9">
            <anchor moveWithCells="1">
              <from>
                <xdr:col>0</xdr:col>
                <xdr:colOff>66675</xdr:colOff>
                <xdr:row>8</xdr:row>
                <xdr:rowOff>38100</xdr:rowOff>
              </from>
              <to>
                <xdr:col>1</xdr:col>
                <xdr:colOff>0</xdr:colOff>
                <xdr:row>9</xdr:row>
                <xdr:rowOff>114300</xdr:rowOff>
              </to>
            </anchor>
          </controlPr>
        </control>
      </mc:Choice>
      <mc:Fallback>
        <control shapeId="86075" r:id="rId8" name="stage_num_set"/>
      </mc:Fallback>
    </mc:AlternateContent>
    <mc:AlternateContent xmlns:mc="http://schemas.openxmlformats.org/markup-compatibility/2006">
      <mc:Choice Requires="x14">
        <control shapeId="86076" r:id="rId10" name="stage_num">
          <controlPr autoLine="0" r:id="rId11">
            <anchor moveWithCells="1">
              <from>
                <xdr:col>0</xdr:col>
                <xdr:colOff>66675</xdr:colOff>
                <xdr:row>9</xdr:row>
                <xdr:rowOff>114300</xdr:rowOff>
              </from>
              <to>
                <xdr:col>1</xdr:col>
                <xdr:colOff>0</xdr:colOff>
                <xdr:row>10</xdr:row>
                <xdr:rowOff>152400</xdr:rowOff>
              </to>
            </anchor>
          </controlPr>
        </control>
      </mc:Choice>
      <mc:Fallback>
        <control shapeId="86076" r:id="rId10" name="stage_num"/>
      </mc:Fallback>
    </mc:AlternateContent>
    <mc:AlternateContent xmlns:mc="http://schemas.openxmlformats.org/markup-compatibility/2006">
      <mc:Choice Requires="x14">
        <control shapeId="86077" r:id="rId12" name="stage1">
          <controlPr autoLine="0" r:id="rId13">
            <anchor moveWithCells="1">
              <from>
                <xdr:col>0</xdr:col>
                <xdr:colOff>66675</xdr:colOff>
                <xdr:row>4</xdr:row>
                <xdr:rowOff>57150</xdr:rowOff>
              </from>
              <to>
                <xdr:col>1</xdr:col>
                <xdr:colOff>0</xdr:colOff>
                <xdr:row>5</xdr:row>
                <xdr:rowOff>104775</xdr:rowOff>
              </to>
            </anchor>
          </controlPr>
        </control>
      </mc:Choice>
      <mc:Fallback>
        <control shapeId="86077" r:id="rId12" name="stage1"/>
      </mc:Fallback>
    </mc:AlternateContent>
    <mc:AlternateContent xmlns:mc="http://schemas.openxmlformats.org/markup-compatibility/2006">
      <mc:Choice Requires="x14">
        <control shapeId="86017" r:id="rId14" name="Check Box 1">
          <controlPr defaultSize="0" autoFill="0" autoLine="0" autoPict="0" macro="[0]!复选框10_Click" altText="启用">
            <anchor moveWithCells="1">
              <from>
                <xdr:col>4</xdr:col>
                <xdr:colOff>152400</xdr:colOff>
                <xdr:row>2</xdr:row>
                <xdr:rowOff>200025</xdr:rowOff>
              </from>
              <to>
                <xdr:col>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18" r:id="rId15" name="Check Box 2">
          <controlPr defaultSize="0" autoFill="0" autoLine="0" autoPict="0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19" r:id="rId16" name="Check Box 3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20" r:id="rId17" name="Check Box 4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21" r:id="rId18" name="Check Box 5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22" r:id="rId19" name="Check Box 6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23" r:id="rId20" name="Check Box 7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24" r:id="rId21" name="Check Box 8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25" r:id="rId22" name="Check Box 9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26" r:id="rId23" name="Check Box 10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27" r:id="rId24" name="Check Box 11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28" r:id="rId25" name="Check Box 12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29" r:id="rId26" name="Check Box 13">
          <controlPr defaultSize="0" autoFill="0" autoLine="0" autoPict="0" altText="启用">
            <anchor moveWithCells="1">
              <from>
                <xdr:col>4</xdr:col>
                <xdr:colOff>152400</xdr:colOff>
                <xdr:row>2</xdr:row>
                <xdr:rowOff>200025</xdr:rowOff>
              </from>
              <to>
                <xdr:col>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30" r:id="rId27" name="Check Box 14">
          <controlPr defaultSize="0" autoFill="0" autoLine="0" autoPict="0" macro="[0]!复选框10_Click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31" r:id="rId28" name="Check Box 15">
          <controlPr defaultSize="0" autoFill="0" autoLine="0" autoPict="0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32" r:id="rId29" name="Check Box 16">
          <controlPr defaultSize="0" autoFill="0" autoLine="0" autoPict="0" macro="[0]!复选框10_Click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33" r:id="rId30" name="Check Box 17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34" r:id="rId31" name="Check Box 18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35" r:id="rId32" name="Check Box 19">
          <controlPr defaultSize="0" autoFill="0" autoLine="0" autoPict="0" macro="[0]!复选框10_Click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36" r:id="rId33" name="Check Box 20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37" r:id="rId34" name="Check Box 21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38" r:id="rId35" name="Check Box 22">
          <controlPr defaultSize="0" autoFill="0" autoLine="0" autoPict="0" macro="[0]!复选框10_Click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39" r:id="rId36" name="Check Box 23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40" r:id="rId37" name="Check Box 24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41" r:id="rId38" name="Check Box 25">
          <controlPr defaultSize="0" autoFill="0" autoLine="0" autoPict="0" macro="[0]!复选框10_Click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42" r:id="rId39" name="Check Box 26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43" r:id="rId40" name="Check Box 27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44" r:id="rId41" name="Check Box 28">
          <controlPr defaultSize="0" autoFill="0" autoLine="0" autoPict="0" macro="[0]!复选框10_Click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45" r:id="rId42" name="Check Box 29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46" r:id="rId43" name="Check Box 30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47" r:id="rId44" name="Check Box 31">
          <controlPr defaultSize="0" autoFill="0" autoLine="0" autoPict="0" macro="[0]!复选框10_Click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48" r:id="rId45" name="Check Box 32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49" r:id="rId46" name="Check Box 33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50" r:id="rId47" name="Check Box 34">
          <controlPr defaultSize="0" autoFill="0" autoLine="0" autoPict="0" macro="[0]!复选框10_Click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51" r:id="rId48" name="Check Box 35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52" r:id="rId49" name="Check Box 36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53" r:id="rId50" name="Check Box 37">
          <controlPr defaultSize="0" autoFill="0" autoLine="0" autoPict="0" macro="[0]!复选框10_Click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54" r:id="rId51" name="Check Box 38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55" r:id="rId52" name="Check Box 39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56" r:id="rId53" name="Check Box 40">
          <controlPr defaultSize="0" autoFill="0" autoLine="0" autoPict="0" macro="[0]!复选框10_Click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57" r:id="rId54" name="Check Box 41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58" r:id="rId55" name="Check Box 42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59" r:id="rId56" name="Check Box 43">
          <controlPr defaultSize="0" autoFill="0" autoLine="0" autoPict="0" macro="[0]!复选框10_Click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60" r:id="rId57" name="Check Box 44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61" r:id="rId58" name="Check Box 45">
          <controlPr defaultSize="0" autoFill="0" autoLine="0" autoPict="0" altText="启用">
            <anchor moveWithCells="1">
              <from>
                <xdr:col>3</xdr:col>
                <xdr:colOff>152400</xdr:colOff>
                <xdr:row>2</xdr:row>
                <xdr:rowOff>200025</xdr:rowOff>
              </from>
              <to>
                <xdr:col>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62" r:id="rId59" name="Check Box 46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63" r:id="rId60" name="Check Box 47">
          <controlPr defaultSize="0" autoFill="0" autoLine="0" autoPict="0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64" r:id="rId61" name="Check Box 48">
          <controlPr defaultSize="0" autoFill="0" autoLine="0" autoPict="0" macro="[0]!复选框10_Click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65" r:id="rId62" name="Check Box 49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66" r:id="rId63" name="Check Box 50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67" r:id="rId64" name="Check Box 51">
          <controlPr defaultSize="0" autoFill="0" autoLine="0" autoPict="0" macro="[0]!复选框10_Click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68" r:id="rId65" name="Check Box 52">
          <controlPr defaultSize="0" autoFill="0" autoLine="0" autoPict="0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69" r:id="rId66" name="Check Box 53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70" r:id="rId67" name="Check Box 54">
          <controlPr defaultSize="0" autoFill="0" autoLine="0" autoPict="0" macro="[0]!复选框10_Click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71" r:id="rId68" name="Check Box 55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72" r:id="rId69" name="Check Box 56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Y39"/>
  <sheetViews>
    <sheetView showGridLines="0" zoomScale="106" zoomScaleNormal="106" workbookViewId="0">
      <pane xSplit="3" topLeftCell="D1" activePane="topRight" state="frozen"/>
      <selection pane="topRight" activeCell="G11" sqref="G11"/>
    </sheetView>
  </sheetViews>
  <sheetFormatPr defaultRowHeight="16.5" x14ac:dyDescent="0.15"/>
  <cols>
    <col min="1" max="1" width="9" style="2"/>
    <col min="2" max="2" width="16.75" style="2" customWidth="1"/>
    <col min="3" max="3" width="6" style="2" bestFit="1" customWidth="1"/>
    <col min="4" max="4" width="19.375" style="2" customWidth="1"/>
    <col min="5" max="5" width="23.5" style="2" bestFit="1" customWidth="1"/>
    <col min="6" max="6" width="20.125" style="2" bestFit="1" customWidth="1"/>
    <col min="7" max="7" width="22.5" style="2" customWidth="1"/>
    <col min="8" max="18" width="12.625" style="2" customWidth="1"/>
    <col min="19" max="16384" width="9" style="2"/>
  </cols>
  <sheetData>
    <row r="1" spans="1:25" ht="45.75" customHeight="1" x14ac:dyDescent="0.15">
      <c r="A1" s="6"/>
      <c r="B1" s="63" t="s">
        <v>61</v>
      </c>
      <c r="C1" s="63"/>
      <c r="D1" s="6"/>
      <c r="E1" s="44"/>
      <c r="F1" s="44"/>
      <c r="G1" s="44"/>
      <c r="H1" s="44"/>
      <c r="I1" s="44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</row>
    <row r="2" spans="1:25" ht="16.5" customHeight="1" x14ac:dyDescent="0.15">
      <c r="A2" s="44"/>
      <c r="B2" s="63"/>
      <c r="C2" s="63"/>
      <c r="D2" s="6">
        <f>数据源!J5</f>
        <v>0</v>
      </c>
      <c r="E2" s="6"/>
      <c r="F2" s="6"/>
      <c r="G2" s="6"/>
      <c r="H2" s="44"/>
      <c r="I2" s="44"/>
      <c r="J2" s="44"/>
      <c r="K2" s="44"/>
      <c r="L2" s="6"/>
      <c r="M2" s="6"/>
      <c r="N2" s="6"/>
      <c r="O2" s="6"/>
      <c r="P2" s="6"/>
      <c r="Q2" s="6"/>
      <c r="R2" s="6"/>
      <c r="S2" s="6"/>
      <c r="T2" s="6"/>
      <c r="U2" s="6"/>
      <c r="V2" s="6"/>
    </row>
    <row r="3" spans="1:25" ht="16.5" customHeight="1" x14ac:dyDescent="0.15">
      <c r="A3" s="44"/>
      <c r="B3" s="64"/>
      <c r="C3" s="64"/>
      <c r="D3" s="25">
        <v>1</v>
      </c>
      <c r="E3" s="25">
        <v>2</v>
      </c>
      <c r="F3" s="25">
        <v>3</v>
      </c>
      <c r="G3" s="25">
        <v>4</v>
      </c>
      <c r="H3" s="25">
        <v>5</v>
      </c>
      <c r="I3" s="25">
        <v>6</v>
      </c>
      <c r="J3" s="25">
        <v>7</v>
      </c>
      <c r="K3" s="25">
        <v>8</v>
      </c>
      <c r="L3" s="25">
        <v>9</v>
      </c>
      <c r="M3" s="25">
        <v>10</v>
      </c>
      <c r="N3" s="25">
        <v>11</v>
      </c>
      <c r="O3" s="25">
        <v>12</v>
      </c>
      <c r="P3" s="25">
        <v>13</v>
      </c>
      <c r="Q3" s="25">
        <v>14</v>
      </c>
      <c r="R3" s="25">
        <v>15</v>
      </c>
      <c r="S3" s="6"/>
      <c r="T3" s="6"/>
      <c r="U3" s="6"/>
      <c r="V3" s="44"/>
      <c r="W3" s="44"/>
      <c r="X3" s="44"/>
      <c r="Y3" s="44"/>
    </row>
    <row r="4" spans="1:25" x14ac:dyDescent="0.15">
      <c r="A4" s="44"/>
      <c r="B4" s="25"/>
      <c r="C4" s="28" t="b">
        <v>1</v>
      </c>
      <c r="D4" s="23" t="b">
        <v>1</v>
      </c>
      <c r="E4" s="24" t="b">
        <v>1</v>
      </c>
      <c r="F4" s="24" t="b">
        <v>1</v>
      </c>
      <c r="G4" s="24" t="b">
        <v>1</v>
      </c>
      <c r="H4" s="24" t="b">
        <v>0</v>
      </c>
      <c r="I4" s="24" t="b">
        <v>0</v>
      </c>
      <c r="J4" s="24" t="b">
        <v>0</v>
      </c>
      <c r="K4" s="24" t="b">
        <v>0</v>
      </c>
      <c r="L4" s="24" t="b">
        <v>0</v>
      </c>
      <c r="M4" s="24" t="b">
        <v>0</v>
      </c>
      <c r="N4" s="24" t="b">
        <v>0</v>
      </c>
      <c r="O4" s="24" t="b">
        <v>0</v>
      </c>
      <c r="P4" s="24" t="b">
        <v>0</v>
      </c>
      <c r="Q4" s="24" t="b">
        <v>0</v>
      </c>
      <c r="R4" s="24" t="b">
        <v>0</v>
      </c>
      <c r="S4" s="44"/>
      <c r="T4" s="44"/>
      <c r="U4" s="44"/>
      <c r="V4" s="44"/>
      <c r="W4" s="44"/>
      <c r="X4" s="44"/>
      <c r="Y4" s="44"/>
    </row>
    <row r="5" spans="1:25" s="4" customFormat="1" x14ac:dyDescent="0.15">
      <c r="A5" s="44"/>
      <c r="B5" s="25" t="s">
        <v>24</v>
      </c>
      <c r="C5" s="26"/>
      <c r="D5" s="21" t="s">
        <v>80</v>
      </c>
      <c r="E5" s="21" t="s">
        <v>74</v>
      </c>
      <c r="F5" s="21" t="s">
        <v>101</v>
      </c>
      <c r="G5" s="21" t="s">
        <v>109</v>
      </c>
      <c r="H5" s="21" t="s">
        <v>99</v>
      </c>
      <c r="I5" s="21" t="s">
        <v>109</v>
      </c>
      <c r="J5" s="21" t="s">
        <v>112</v>
      </c>
      <c r="K5" s="21" t="s">
        <v>77</v>
      </c>
      <c r="L5" s="21" t="s">
        <v>29</v>
      </c>
      <c r="M5" s="21" t="s">
        <v>30</v>
      </c>
      <c r="N5" s="21" t="s">
        <v>30</v>
      </c>
      <c r="O5" s="21" t="s">
        <v>63</v>
      </c>
      <c r="P5" s="21" t="s">
        <v>31</v>
      </c>
      <c r="Q5" s="21" t="s">
        <v>29</v>
      </c>
      <c r="R5" s="21" t="s">
        <v>29</v>
      </c>
      <c r="S5" s="44"/>
      <c r="T5" s="44"/>
      <c r="U5" s="44"/>
      <c r="V5" s="44"/>
      <c r="W5" s="44"/>
      <c r="X5" s="44"/>
      <c r="Y5" s="44"/>
    </row>
    <row r="6" spans="1:25" s="4" customFormat="1" ht="21.75" customHeight="1" x14ac:dyDescent="0.15">
      <c r="A6" s="44"/>
      <c r="B6" s="27" t="s">
        <v>0</v>
      </c>
      <c r="C6" s="26"/>
      <c r="D6" s="45" t="s">
        <v>120</v>
      </c>
      <c r="E6" s="45" t="s">
        <v>126</v>
      </c>
      <c r="F6" s="45" t="s">
        <v>98</v>
      </c>
      <c r="G6" s="45" t="s">
        <v>119</v>
      </c>
      <c r="H6" s="45" t="s">
        <v>100</v>
      </c>
      <c r="I6" s="45" t="s">
        <v>110</v>
      </c>
      <c r="J6" s="45" t="s">
        <v>113</v>
      </c>
      <c r="K6" s="45" t="s">
        <v>78</v>
      </c>
      <c r="L6" s="45" t="s">
        <v>65</v>
      </c>
      <c r="M6" s="45" t="s">
        <v>69</v>
      </c>
      <c r="N6" s="45" t="s">
        <v>66</v>
      </c>
      <c r="O6" s="45" t="s">
        <v>67</v>
      </c>
      <c r="P6" s="45" t="s">
        <v>53</v>
      </c>
      <c r="Q6" s="45" t="s">
        <v>59</v>
      </c>
      <c r="R6" s="45" t="s">
        <v>56</v>
      </c>
      <c r="S6" s="44"/>
      <c r="T6" s="44"/>
      <c r="U6" s="44"/>
      <c r="V6" s="44"/>
      <c r="W6" s="44"/>
      <c r="X6" s="44"/>
      <c r="Y6" s="44"/>
    </row>
    <row r="7" spans="1:25" s="4" customFormat="1" ht="17.25" thickBot="1" x14ac:dyDescent="0.2">
      <c r="A7" s="44"/>
      <c r="B7" s="27" t="s">
        <v>57</v>
      </c>
      <c r="C7" s="28" t="s">
        <v>25</v>
      </c>
      <c r="D7" s="42" t="s">
        <v>121</v>
      </c>
      <c r="E7" s="42" t="s">
        <v>96</v>
      </c>
      <c r="F7" s="42" t="s">
        <v>117</v>
      </c>
      <c r="G7" s="42" t="s">
        <v>91</v>
      </c>
      <c r="H7" s="42" t="s">
        <v>72</v>
      </c>
      <c r="I7" s="42" t="s">
        <v>111</v>
      </c>
      <c r="J7" s="42" t="s">
        <v>114</v>
      </c>
      <c r="K7" s="42" t="s">
        <v>92</v>
      </c>
      <c r="L7" s="42" t="s">
        <v>54</v>
      </c>
      <c r="M7" s="42" t="s">
        <v>64</v>
      </c>
      <c r="N7" s="42" t="s">
        <v>64</v>
      </c>
      <c r="O7" s="42" t="s">
        <v>62</v>
      </c>
      <c r="P7" s="42" t="s">
        <v>62</v>
      </c>
      <c r="Q7" s="42" t="s">
        <v>54</v>
      </c>
      <c r="R7" s="42" t="s">
        <v>54</v>
      </c>
      <c r="S7" s="44"/>
      <c r="T7" s="44"/>
      <c r="U7" s="44"/>
      <c r="V7" s="44"/>
      <c r="W7" s="44"/>
      <c r="X7" s="44"/>
      <c r="Y7" s="44"/>
    </row>
    <row r="8" spans="1:25" ht="17.25" thickTop="1" x14ac:dyDescent="0.15">
      <c r="A8" s="44"/>
      <c r="B8" s="25" t="s">
        <v>58</v>
      </c>
      <c r="C8" s="26" t="s">
        <v>1</v>
      </c>
      <c r="D8" s="15">
        <f>LOOKUP(1,0/((数据源!$A$2:$A$160=D5)*(数据源!$B$2:$B$160=D6)*(数据源!$C$2:$C$160=D7)),数据源!$D$2:$D$160)</f>
        <v>-0.8</v>
      </c>
      <c r="E8" s="15">
        <f>LOOKUP(1,0/((数据源!$A$2:$A$160=E5)*(数据源!$B$2:$B$160=E6)*(数据源!$C$2:$C$160=E7)),数据源!$D$2:$D$160)</f>
        <v>-2.5</v>
      </c>
      <c r="F8" s="15">
        <f>LOOKUP(1,0/((数据源!$A$2:$A$160=F5)*(数据源!$B$2:$B$160=F6)*(数据源!$C$2:$C$160=F7)),数据源!$D$2:$D$160)</f>
        <v>-0.5</v>
      </c>
      <c r="G8" s="15">
        <f>LOOKUP(1,0/((数据源!$A$2:$A$160=G5)*(数据源!$B$2:$B$160=G6)*(数据源!$C$2:$C$160=G7)),数据源!$D$2:$D$160)</f>
        <v>56</v>
      </c>
      <c r="H8" s="15">
        <f>LOOKUP(1,0/((数据源!$A$2:$A$160=H5)*(数据源!$B$2:$B$160=H6)*(数据源!$C$2:$C$160=H7)),数据源!$D$2:$D$160)</f>
        <v>15</v>
      </c>
      <c r="I8" s="15">
        <f>LOOKUP(1,0/((数据源!$A$2:$A$160=I5)*(数据源!$B$2:$B$160=I6)*(数据源!$C$2:$C$160=I7)),数据源!$D$2:$D$160)</f>
        <v>56</v>
      </c>
      <c r="J8" s="15">
        <f>LOOKUP(1,0/((数据源!$A$2:$A$160=J5)*(数据源!$B$2:$B$160=J6)*(数据源!$C$2:$C$160=J7)),数据源!$D$2:$D$160)</f>
        <v>-0.7</v>
      </c>
      <c r="K8" s="15">
        <f>LOOKUP(1,0/((数据源!$A$2:$A$160=K5)*(数据源!$B$2:$B$160=K6)*(数据源!$C$2:$C$160=K7)),数据源!$D$2:$D$160)</f>
        <v>56</v>
      </c>
      <c r="L8" s="15">
        <f>LOOKUP(1,0/((数据源!$A$2:$A$160=L5)*(数据源!$B$2:$B$160=L6)*(数据源!$C$2:$C$160=L7)),数据源!$D$2:$D$160)</f>
        <v>-2</v>
      </c>
      <c r="M8" s="15" t="e">
        <f>LOOKUP(1,0/((数据源!$A$2:$A$160=M5)*(数据源!$B$2:$B$160=M6)*(数据源!$C$2:$C$160=M7)),数据源!$D$2:$D$160)</f>
        <v>#N/A</v>
      </c>
      <c r="N8" s="15" t="e">
        <f>LOOKUP(1,0/((数据源!$A$2:$A$160=N5)*(数据源!$B$2:$B$160=N6)*(数据源!$C$2:$C$160=N7)),数据源!$D$2:$D$160)</f>
        <v>#N/A</v>
      </c>
      <c r="O8" s="15" t="e">
        <f>LOOKUP(1,0/((数据源!$A$2:$A$160=O5)*(数据源!$B$2:$B$160=O6)*(数据源!$C$2:$C$160=O7)),数据源!$D$2:$D$160)</f>
        <v>#N/A</v>
      </c>
      <c r="P8" s="15" t="e">
        <f>LOOKUP(1,0/((数据源!$A$2:$A$160=P5)*(数据源!$B$2:$B$160=P6)*(数据源!$C$2:$C$160=P7)),数据源!$D$2:$D$160)</f>
        <v>#N/A</v>
      </c>
      <c r="Q8" s="15">
        <f>LOOKUP(1,0/((数据源!$A$2:$A$160=Q5)*(数据源!$B$2:$B$160=Q6)*(数据源!$C$2:$C$160=Q7)),数据源!$D$2:$D$160)</f>
        <v>-5</v>
      </c>
      <c r="R8" s="15">
        <f>LOOKUP(1,0/((数据源!$A$2:$A$160=R5)*(数据源!$B$2:$B$160=R6)*(数据源!$C$2:$C$160=R7)),数据源!$D$2:$D$160)</f>
        <v>-8</v>
      </c>
      <c r="S8" s="44"/>
      <c r="T8" s="44"/>
      <c r="U8" s="44"/>
      <c r="V8" s="44"/>
      <c r="W8" s="44"/>
      <c r="X8" s="44"/>
      <c r="Y8" s="44"/>
    </row>
    <row r="9" spans="1:25" x14ac:dyDescent="0.15">
      <c r="A9" s="44"/>
      <c r="B9" s="25" t="s">
        <v>2</v>
      </c>
      <c r="C9" s="26" t="s">
        <v>1</v>
      </c>
      <c r="D9" s="12">
        <f>LOOKUP(1,0/((数据源!$A$2:$A$160=D5)*(数据源!$B$2:$B$160=D6)*(数据源!$C$2:$C$160=D7)),数据源!$E$2:$E$160)</f>
        <v>0.8</v>
      </c>
      <c r="E9" s="12">
        <f>LOOKUP(1,0/((数据源!$A$2:$A$160=E5)*(数据源!$B$2:$B$160=E6)*(数据源!$C$2:$C$160=E7)),数据源!$E$2:$E$160)</f>
        <v>2.5</v>
      </c>
      <c r="F9" s="12">
        <f>LOOKUP(1,0/((数据源!$A$2:$A$160=F5)*(数据源!$B$2:$B$160=F6)*(数据源!$C$2:$C$160=F7)),数据源!$E$2:$E$160)</f>
        <v>0.5</v>
      </c>
      <c r="G9" s="12">
        <f>LOOKUP(1,0/((数据源!$A$2:$A$160=G5)*(数据源!$B$2:$B$160=G6)*(数据源!$C$2:$C$160=G7)),数据源!$E$2:$E$160)</f>
        <v>2.2999999999999998</v>
      </c>
      <c r="H9" s="12">
        <f>LOOKUP(1,0/((数据源!$A$2:$A$160=H5)*(数据源!$B$2:$B$160=H6)*(数据源!$C$2:$C$160=H7)),数据源!$E$2:$E$160)</f>
        <v>0.7</v>
      </c>
      <c r="I9" s="12">
        <f>LOOKUP(1,0/((数据源!$A$2:$A$160=I5)*(数据源!$B$2:$B$160=I6)*(数据源!$C$2:$C$160=I7)),数据源!$E$2:$E$160)</f>
        <v>2.7</v>
      </c>
      <c r="J9" s="12">
        <f>LOOKUP(1,0/((数据源!$A$2:$A$160=J5)*(数据源!$B$2:$B$160=J6)*(数据源!$C$2:$C$160=J7)),数据源!$E$2:$E$160)</f>
        <v>0.7</v>
      </c>
      <c r="K9" s="12">
        <f>LOOKUP(1,0/((数据源!$A$2:$A$160=K5)*(数据源!$B$2:$B$160=K6)*(数据源!$C$2:$C$160=K7)),数据源!$E$2:$E$160)</f>
        <v>2.7</v>
      </c>
      <c r="L9" s="12">
        <f>LOOKUP(1,0/((数据源!$A$2:$A$160=L5)*(数据源!$B$2:$B$160=L6)*(数据源!$C$2:$C$160=L7)),数据源!$E$2:$E$160)</f>
        <v>2</v>
      </c>
      <c r="M9" s="12" t="e">
        <f>LOOKUP(1,0/((数据源!$A$2:$A$160=M5)*(数据源!$B$2:$B$160=M6)*(数据源!$C$2:$C$160=M7)),数据源!$E$2:$E$160)</f>
        <v>#N/A</v>
      </c>
      <c r="N9" s="12" t="e">
        <f>LOOKUP(1,0/((数据源!$A$2:$A$160=N5)*(数据源!$B$2:$B$160=N6)*(数据源!$C$2:$C$160=N7)),数据源!$E$2:$E$160)</f>
        <v>#N/A</v>
      </c>
      <c r="O9" s="12" t="e">
        <f>LOOKUP(1,0/((数据源!$A$2:$A$160=O5)*(数据源!$B$2:$B$160=O6)*(数据源!$C$2:$C$160=O7)),数据源!$E$2:$E$160)</f>
        <v>#N/A</v>
      </c>
      <c r="P9" s="12" t="e">
        <f>LOOKUP(1,0/((数据源!$A$2:$A$160=P5)*(数据源!$B$2:$B$160=P6)*(数据源!$C$2:$C$160=P7)),数据源!$E$2:$E$160)</f>
        <v>#N/A</v>
      </c>
      <c r="Q9" s="12">
        <f>LOOKUP(1,0/((数据源!$A$2:$A$160=Q5)*(数据源!$B$2:$B$160=Q6)*(数据源!$C$2:$C$160=Q7)),数据源!$E$2:$E$160)</f>
        <v>5</v>
      </c>
      <c r="R9" s="12">
        <f>LOOKUP(1,0/((数据源!$A$2:$A$160=R5)*(数据源!$B$2:$B$160=R6)*(数据源!$C$2:$C$160=R7)),数据源!$E$2:$E$160)</f>
        <v>8</v>
      </c>
      <c r="S9" s="44"/>
      <c r="T9" s="44"/>
      <c r="U9" s="44"/>
      <c r="V9" s="44"/>
      <c r="W9" s="44"/>
      <c r="X9" s="44"/>
      <c r="Y9" s="44"/>
    </row>
    <row r="10" spans="1:25" x14ac:dyDescent="0.15">
      <c r="A10" s="44"/>
      <c r="B10" s="25" t="s">
        <v>55</v>
      </c>
      <c r="C10" s="26" t="s">
        <v>3</v>
      </c>
      <c r="D10" s="12">
        <f>LOOKUP(1,0/((数据源!$A$2:$A$160=D5)*(数据源!$B$2:$B$160=D6)*(数据源!$C$2:$C$160=D7)),数据源!$F$2:$F$160)</f>
        <v>60</v>
      </c>
      <c r="E10" s="12">
        <f>LOOKUP(1,0/((数据源!$A$2:$A$160=E5)*(数据源!$B$2:$B$160=E6)*(数据源!$C$2:$C$160=E7)),数据源!$F$2:$F$160)</f>
        <v>60</v>
      </c>
      <c r="F10" s="12">
        <f>LOOKUP(1,0/((数据源!$A$2:$A$160=F5)*(数据源!$B$2:$B$160=F6)*(数据源!$C$2:$C$160=F7)),数据源!$F$2:$F$160)</f>
        <v>60</v>
      </c>
      <c r="G10" s="12">
        <f>LOOKUP(1,0/((数据源!$A$2:$A$160=G5)*(数据源!$B$2:$B$160=G6)*(数据源!$C$2:$C$160=G7)),数据源!$F$2:$F$160)</f>
        <v>60</v>
      </c>
      <c r="H10" s="12">
        <f>LOOKUP(1,0/((数据源!$A$2:$A$160=H5)*(数据源!$B$2:$B$160=H6)*(数据源!$C$2:$C$160=H7)),数据源!$F$2:$F$160)</f>
        <v>15</v>
      </c>
      <c r="I10" s="12">
        <f>LOOKUP(1,0/((数据源!$A$2:$A$160=I5)*(数据源!$B$2:$B$160=I6)*(数据源!$C$2:$C$160=I7)),数据源!$F$2:$F$160)</f>
        <v>60</v>
      </c>
      <c r="J10" s="12">
        <f>LOOKUP(1,0/((数据源!$A$2:$A$160=J5)*(数据源!$B$2:$B$160=J6)*(数据源!$C$2:$C$160=J7)),数据源!$F$2:$F$160)</f>
        <v>60</v>
      </c>
      <c r="K10" s="12">
        <f>LOOKUP(1,0/((数据源!$A$2:$A$160=K5)*(数据源!$B$2:$B$160=K6)*(数据源!$C$2:$C$160=K7)),数据源!$F$2:$F$160)</f>
        <v>60</v>
      </c>
      <c r="L10" s="12">
        <f>LOOKUP(1,0/((数据源!$A$2:$A$160=L5)*(数据源!$B$2:$B$160=L6)*(数据源!$C$2:$C$160=L7)),数据源!$F$2:$F$160)</f>
        <v>1000</v>
      </c>
      <c r="M10" s="12" t="e">
        <f>LOOKUP(1,0/((数据源!$A$2:$A$160=M5)*(数据源!$B$2:$B$160=M6)*(数据源!$C$2:$C$160=M7)),数据源!$F$2:$F$160)</f>
        <v>#N/A</v>
      </c>
      <c r="N10" s="12" t="e">
        <f>LOOKUP(1,0/((数据源!$A$2:$A$160=N5)*(数据源!$B$2:$B$160=N6)*(数据源!$C$2:$C$160=N7)),数据源!$F$2:$F$160)</f>
        <v>#N/A</v>
      </c>
      <c r="O10" s="12" t="e">
        <f>LOOKUP(1,0/((数据源!$A$2:$A$160=O5)*(数据源!$B$2:$B$160=O6)*(数据源!$C$2:$C$160=O7)),数据源!$F$2:$F$160)</f>
        <v>#N/A</v>
      </c>
      <c r="P10" s="12" t="e">
        <f>LOOKUP(1,0/((数据源!$A$2:$A$160=P5)*(数据源!$B$2:$B$160=P6)*(数据源!$C$2:$C$160=P7)),数据源!$F$2:$F$160)</f>
        <v>#N/A</v>
      </c>
      <c r="Q10" s="12">
        <f>LOOKUP(1,0/((数据源!$A$2:$A$160=Q5)*(数据源!$B$2:$B$160=Q6)*(数据源!$C$2:$C$160=Q7)),数据源!$F$2:$F$160)</f>
        <v>1000</v>
      </c>
      <c r="R10" s="12">
        <f>LOOKUP(1,0/((数据源!$A$2:$A$160=R5)*(数据源!$B$2:$B$160=R6)*(数据源!$C$2:$C$160=R7)),数据源!$F$2:$F$160)</f>
        <v>1000</v>
      </c>
      <c r="S10" s="44"/>
      <c r="T10" s="44"/>
      <c r="U10" s="44"/>
      <c r="V10" s="44"/>
      <c r="W10" s="44"/>
      <c r="X10" s="44"/>
      <c r="Y10" s="44"/>
    </row>
    <row r="11" spans="1:25" ht="17.25" thickBot="1" x14ac:dyDescent="0.2">
      <c r="A11" s="6"/>
      <c r="B11" s="29" t="s">
        <v>4</v>
      </c>
      <c r="C11" s="30" t="s">
        <v>3</v>
      </c>
      <c r="D11" s="13">
        <f>LOOKUP(1,0/((数据源!$A$2:$A$160=D5)*(数据源!$B$2:$B$160=D6)*(数据源!$C$2:$C$160=D7)),数据源!$G$2:$G$160)</f>
        <v>60</v>
      </c>
      <c r="E11" s="13">
        <f>LOOKUP(1,0/((数据源!$A$2:$A$160=E5)*(数据源!$B$2:$B$160=E6)*(数据源!$C$2:$C$160=E7)),数据源!$G$2:$G$160)</f>
        <v>60</v>
      </c>
      <c r="F11" s="13">
        <f>LOOKUP(1,0/((数据源!$A$2:$A$160=F5)*(数据源!$B$2:$B$160=F6)*(数据源!$C$2:$C$160=F7)),数据源!$G$2:$G$160)</f>
        <v>60</v>
      </c>
      <c r="G11" s="13">
        <f>LOOKUP(1,0/((数据源!$A$2:$A$160=G5)*(数据源!$B$2:$B$160=G6)*(数据源!$C$2:$C$160=G7)),数据源!$G$2:$G$160)</f>
        <v>60</v>
      </c>
      <c r="H11" s="13">
        <f>LOOKUP(1,0/((数据源!$A$2:$A$160=H5)*(数据源!$B$2:$B$160=H6)*(数据源!$C$2:$C$160=H7)),数据源!$G$2:$G$160)</f>
        <v>16</v>
      </c>
      <c r="I11" s="13">
        <f>LOOKUP(1,0/((数据源!$A$2:$A$160=I5)*(数据源!$B$2:$B$160=I6)*(数据源!$C$2:$C$160=I7)),数据源!$G$2:$G$160)</f>
        <v>60</v>
      </c>
      <c r="J11" s="13">
        <f>LOOKUP(1,0/((数据源!$A$2:$A$160=J5)*(数据源!$B$2:$B$160=J6)*(数据源!$C$2:$C$160=J7)),数据源!$G$2:$G$160)</f>
        <v>60</v>
      </c>
      <c r="K11" s="13">
        <f>LOOKUP(1,0/((数据源!$A$2:$A$160=K5)*(数据源!$B$2:$B$160=K6)*(数据源!$C$2:$C$160=K7)),数据源!$G$2:$G$160)</f>
        <v>60</v>
      </c>
      <c r="L11" s="13">
        <f>LOOKUP(1,0/((数据源!$A$2:$A$160=L5)*(数据源!$B$2:$B$160=L6)*(数据源!$C$2:$C$160=L7)),数据源!$G$2:$G$160)</f>
        <v>1000</v>
      </c>
      <c r="M11" s="13" t="e">
        <f>LOOKUP(1,0/((数据源!$A$2:$A$160=M5)*(数据源!$B$2:$B$160=M6)*(数据源!$C$2:$C$160=M7)),数据源!$G$2:$G$160)</f>
        <v>#N/A</v>
      </c>
      <c r="N11" s="13" t="e">
        <f>LOOKUP(1,0/((数据源!$A$2:$A$160=N5)*(数据源!$B$2:$B$160=N6)*(数据源!$C$2:$C$160=N7)),数据源!$G$2:$G$160)</f>
        <v>#N/A</v>
      </c>
      <c r="O11" s="13" t="e">
        <f>LOOKUP(1,0/((数据源!$A$2:$A$160=O5)*(数据源!$B$2:$B$160=O6)*(数据源!$C$2:$C$160=O7)),数据源!$G$2:$G$160)</f>
        <v>#N/A</v>
      </c>
      <c r="P11" s="13" t="e">
        <f>LOOKUP(1,0/((数据源!$A$2:$A$160=P5)*(数据源!$B$2:$B$160=P6)*(数据源!$C$2:$C$160=P7)),数据源!$G$2:$G$160)</f>
        <v>#N/A</v>
      </c>
      <c r="Q11" s="13">
        <f>LOOKUP(1,0/((数据源!$A$2:$A$160=Q5)*(数据源!$B$2:$B$160=Q6)*(数据源!$C$2:$C$160=Q7)),数据源!$G$2:$G$160)</f>
        <v>1000</v>
      </c>
      <c r="R11" s="13">
        <f>LOOKUP(1,0/((数据源!$A$2:$A$160=R5)*(数据源!$B$2:$B$160=R6)*(数据源!$C$2:$C$160=R7)),数据源!$G$2:$G$160)</f>
        <v>1000</v>
      </c>
      <c r="S11" s="44"/>
      <c r="T11" s="44"/>
      <c r="U11" s="44"/>
      <c r="V11" s="44"/>
      <c r="W11" s="44"/>
      <c r="X11" s="44"/>
      <c r="Y11" s="44"/>
    </row>
    <row r="12" spans="1:25" ht="17.25" thickTop="1" x14ac:dyDescent="0.15">
      <c r="A12" s="48">
        <f>M23</f>
        <v>-99.214574719691228</v>
      </c>
      <c r="B12" s="31" t="s">
        <v>5</v>
      </c>
      <c r="C12" s="32" t="s">
        <v>1</v>
      </c>
      <c r="D12" s="14">
        <f>IF(AND(D4&lt;&gt;FALSE,D8&lt;&gt;""),D8,"")</f>
        <v>-0.8</v>
      </c>
      <c r="E12" s="11">
        <f>IF(OR($D$4:E$4)=FALSE,"",IF(E$4=FALSE,D12,IF(OR($D$4:D4)=FALSE,E8,E8+D12)))</f>
        <v>-3.3</v>
      </c>
      <c r="F12" s="11">
        <f>IF(OR($D$4:F$4)=FALSE,"",IF(F$4=FALSE,E12,IF(OR($D$4:E4)=FALSE,F8,F8+E12)))</f>
        <v>-3.8</v>
      </c>
      <c r="G12" s="11">
        <f>IF(OR($D$4:G$4)=FALSE,"",IF(G$4=FALSE,F12,IF(OR($D$4:F4)=FALSE,G8,G8+F12)))</f>
        <v>52.2</v>
      </c>
      <c r="H12" s="11">
        <f>IF(OR($D$4:H$4)=FALSE,"",IF(H$4=FALSE,G12,IF(OR($D$4:G4)=FALSE,H8,H8+G12)))</f>
        <v>52.2</v>
      </c>
      <c r="I12" s="11">
        <f>IF(OR($D$4:I$4)=FALSE,"",IF(I$4=FALSE,H12,IF(OR($D$4:H4)=FALSE,I8,I8+H12)))</f>
        <v>52.2</v>
      </c>
      <c r="J12" s="11">
        <f>IF(OR($D$4:J$4)=FALSE,"",IF(J$4=FALSE,I12,IF(OR($D$4:I4)=FALSE,J8,J8+I12)))</f>
        <v>52.2</v>
      </c>
      <c r="K12" s="11">
        <f>IF(OR($D$4:K$4)=FALSE,"",IF(K$4=FALSE,J12,IF(OR($D$4:J4)=FALSE,K8,K8+J12)))</f>
        <v>52.2</v>
      </c>
      <c r="L12" s="11">
        <f>IF(OR($D$4:L$4)=FALSE,"",IF(L$4=FALSE,K12,IF(OR($D$4:K4)=FALSE,L8,L8+K12)))</f>
        <v>52.2</v>
      </c>
      <c r="M12" s="11">
        <f>IF(OR($D$4:M$4)=FALSE,"",IF(M$4=FALSE,L12,IF(OR($D$4:L4)=FALSE,M8,M8+L12)))</f>
        <v>52.2</v>
      </c>
      <c r="N12" s="11">
        <f>IF(OR($D$4:N$4)=FALSE,"",IF(N$4=FALSE,M12,IF(OR($D$4:M4)=FALSE,N8,N8+M12)))</f>
        <v>52.2</v>
      </c>
      <c r="O12" s="11">
        <f>IF(OR($D$4:O$4)=FALSE,"",IF(O$4=FALSE,N12,IF(OR($D$4:N4)=FALSE,O8,O8+N12)))</f>
        <v>52.2</v>
      </c>
      <c r="P12" s="11">
        <f>IF(OR($D$4:P$4)=FALSE,"",IF(P$4=FALSE,O12,IF(OR($D$4:O4)=FALSE,P8,P8+O12)))</f>
        <v>52.2</v>
      </c>
      <c r="Q12" s="11">
        <f>IF(OR($D$4:Q$4)=FALSE,"",IF(Q$4=FALSE,P12,IF(OR($D$4:P4)=FALSE,Q8,Q8+P12)))</f>
        <v>52.2</v>
      </c>
      <c r="R12" s="11">
        <f>IF(OR($D$4:R$4)=FALSE,"",IF(R$4=FALSE,Q12,IF(OR($D$4:Q4)=FALSE,R8,R8+Q12)))</f>
        <v>52.2</v>
      </c>
      <c r="S12" s="44"/>
      <c r="T12" s="44"/>
      <c r="U12" s="44"/>
      <c r="V12" s="44"/>
      <c r="W12" s="44"/>
      <c r="X12" s="44"/>
      <c r="Y12" s="44"/>
    </row>
    <row r="13" spans="1:25" x14ac:dyDescent="0.15">
      <c r="A13" s="6"/>
      <c r="B13" s="33" t="s">
        <v>6</v>
      </c>
      <c r="C13" s="34" t="s">
        <v>1</v>
      </c>
      <c r="D13" s="12">
        <f>IF(AND(D4&lt;&gt;FALSE,D9&lt;&gt;""),D9,"")</f>
        <v>0.8</v>
      </c>
      <c r="E13" s="10">
        <f>IF(OR($D$4:E$4)=FALSE,"",IF(E$4=FALSE,D13,IF(OR($D$4:D$4)=FALSE,E9,10*LOG(10^(D13/10)+(10^(E9/10)-1)/10^(D12/10)))))</f>
        <v>3.3000000000000003</v>
      </c>
      <c r="F13" s="10">
        <f>IF(OR($D$4:F$4)=FALSE,"",IF(F$4=FALSE,E13,IF(OR($D$4:E$4)=FALSE,F9,10*LOG(10^(E13/10)+(10^(F9/10)-1)/10^(E12/10)))))</f>
        <v>3.8000000000000007</v>
      </c>
      <c r="G13" s="10">
        <f>IF(OR($D$4:G$4)=FALSE,"",IF(G$4=FALSE,F13,IF(OR($D$4:F$4)=FALSE,G9,10*LOG(10^(F13/10)+(10^(G9/10)-1)/10^(F12/10)))))</f>
        <v>6.1000000000000014</v>
      </c>
      <c r="H13" s="10">
        <f>IF(OR($D$4:H$4)=FALSE,"",IF(H$4=FALSE,G13,IF(OR($D$4:G$4)=FALSE,H9,10*LOG(10^(G13/10)+(10^(H9/10)-1)/10^(G12/10)))))</f>
        <v>6.1000000000000014</v>
      </c>
      <c r="I13" s="10">
        <f>IF(OR($D$4:I$4)=FALSE,"",IF(I$4=FALSE,H13,IF(OR($D$4:H$4)=FALSE,I9,10*LOG(10^(H13/10)+(10^(I9/10)-1)/10^(H12/10)))))</f>
        <v>6.1000000000000014</v>
      </c>
      <c r="J13" s="10">
        <f>IF(OR($D$4:J$4)=FALSE,"",IF(J$4=FALSE,I13,IF(OR($D$4:I$4)=FALSE,J9,10*LOG(10^(I13/10)+(10^(J9/10)-1)/10^(I12/10)))))</f>
        <v>6.1000000000000014</v>
      </c>
      <c r="K13" s="10">
        <f>IF(OR($D$4:K$4)=FALSE,"",IF(K$4=FALSE,J13,IF(OR($D$4:J$4)=FALSE,K9,10*LOG(10^(J13/10)+(10^(K9/10)-1)/10^(J12/10)))))</f>
        <v>6.1000000000000014</v>
      </c>
      <c r="L13" s="10">
        <f>IF(OR($D$4:L$4)=FALSE,"",IF(L$4=FALSE,K13,IF(OR($D$4:K$4)=FALSE,L9,10*LOG(10^(K13/10)+(10^(L9/10)-1)/10^(K12/10)))))</f>
        <v>6.1000000000000014</v>
      </c>
      <c r="M13" s="10">
        <f>IF(OR($D$4:M$4)=FALSE,"",IF(M$4=FALSE,L13,IF(OR($D$4:L$4)=FALSE,M9,10*LOG(10^(L13/10)+(10^(M9/10)-1)/10^(L12/10)))))</f>
        <v>6.1000000000000014</v>
      </c>
      <c r="N13" s="10">
        <f>IF(OR($D$4:N$4)=FALSE,"",IF(N$4=FALSE,M13,IF(OR($D$4:M$4)=FALSE,N9,10*LOG(10^(M13/10)+(10^(N9/10)-1)/10^(M12/10)))))</f>
        <v>6.1000000000000014</v>
      </c>
      <c r="O13" s="10">
        <f>IF(OR($D$4:O$4)=FALSE,"",IF(O$4=FALSE,N13,IF(OR($D$4:N$4)=FALSE,O9,10*LOG(10^(N13/10)+(10^(O9/10)-1)/10^(N12/10)))))</f>
        <v>6.1000000000000014</v>
      </c>
      <c r="P13" s="10">
        <f>IF(OR($D$4:P$4)=FALSE,"",IF(P$4=FALSE,O13,IF(OR($D$4:O$4)=FALSE,P9,10*LOG(10^(O13/10)+(10^(P9/10)-1)/10^(O12/10)))))</f>
        <v>6.1000000000000014</v>
      </c>
      <c r="Q13" s="10">
        <f>IF(OR($D$4:Q$4)=FALSE,"",IF(Q$4=FALSE,P13,IF(OR($D$4:P$4)=FALSE,Q9,10*LOG(10^(P13/10)+(10^(Q9/10)-1)/10^(P12/10)))))</f>
        <v>6.1000000000000014</v>
      </c>
      <c r="R13" s="10">
        <f>IF(OR($D$4:R$4)=FALSE,"",IF(R$4=FALSE,Q13,IF(OR($D$4:Q$4)=FALSE,R9,10*LOG(10^(Q13/10)+(10^(R9/10)-1)/10^(Q12/10)))))</f>
        <v>6.1000000000000014</v>
      </c>
      <c r="S13" s="6"/>
      <c r="T13" s="6"/>
      <c r="U13" s="6"/>
      <c r="V13" s="6"/>
    </row>
    <row r="14" spans="1:25" x14ac:dyDescent="0.15">
      <c r="A14" s="6"/>
      <c r="B14" s="33" t="s">
        <v>7</v>
      </c>
      <c r="C14" s="34" t="s">
        <v>3</v>
      </c>
      <c r="D14" s="12">
        <f>IF(AND(D4&lt;&gt;FALSE,D10&lt;&gt;""),D10,"")</f>
        <v>60</v>
      </c>
      <c r="E14" s="10">
        <f>IF(OR($D$4:E$4)=FALSE,"",IF(E$4=FALSE,D14,IF(OR($D$4:D$4)=FALSE,E10,10*LOG(1/(1/10^(E10/10)+1/(10^(D14/10)*10^(E8/10)))))))</f>
        <v>55.562240796437507</v>
      </c>
      <c r="F14" s="10">
        <f>IF(OR($D$4:F$4)=FALSE,"",IF(F$4=FALSE,E14,IF(OR($D$4:E$4)=FALSE,F10,10*LOG(1/(1/10^(F10/10)+1/(10^(E14/10)*10^(F8/10)))))))</f>
        <v>53.853895161972389</v>
      </c>
      <c r="G14" s="10">
        <f>IF(OR($D$4:G$4)=FALSE,"",IF(G$4=FALSE,F14,IF(OR($D$4:F$4)=FALSE,G10,10*LOG(1/(1/10^(G10/10)+1/(10^(F14/10)*10^(G8/10)))))))</f>
        <v>59.999955084881549</v>
      </c>
      <c r="H14" s="10">
        <f>IF(OR($D$4:H$4)=FALSE,"",IF(H$4=FALSE,G14,IF(OR($D$4:G$4)=FALSE,H10,10*LOG(1/(1/10^(H10/10)+1/(10^(G14/10)*10^(H8/10)))))))</f>
        <v>59.999955084881549</v>
      </c>
      <c r="I14" s="10">
        <f>IF(OR($D$4:I$4)=FALSE,"",IF(I$4=FALSE,H14,IF(OR($D$4:H$4)=FALSE,I10,10*LOG(1/(1/10^(I10/10)+1/(10^(H14/10)*10^(I8/10)))))))</f>
        <v>59.999955084881549</v>
      </c>
      <c r="J14" s="10">
        <f>IF(OR($D$4:J$4)=FALSE,"",IF(J$4=FALSE,I14,IF(OR($D$4:I$4)=FALSE,J10,10*LOG(1/(1/10^(J10/10)+1/(10^(I14/10)*10^(J8/10)))))))</f>
        <v>59.999955084881549</v>
      </c>
      <c r="K14" s="10">
        <f>IF(OR($D$4:K$4)=FALSE,"",IF(K$4=FALSE,J14,IF(OR($D$4:J$4)=FALSE,K10,10*LOG(1/(1/10^(K10/10)+1/(10^(J14/10)*10^(K8/10)))))))</f>
        <v>59.999955084881549</v>
      </c>
      <c r="L14" s="10">
        <f>IF(OR($D$4:L$4)=FALSE,"",IF(L$4=FALSE,K14,IF(OR($D$4:K$4)=FALSE,L10,10*LOG(1/(1/10^(L10/10)+1/(10^(K14/10)*10^(L8/10)))))))</f>
        <v>59.999955084881549</v>
      </c>
      <c r="M14" s="10">
        <f>IF(OR($D$4:M$4)=FALSE,"",IF(M$4=FALSE,L14,IF(OR($D$4:L$4)=FALSE,M10,10*LOG(1/(1/10^(M10/10)+1/(10^(L14/10)*10^(M8/10)))))))</f>
        <v>59.999955084881549</v>
      </c>
      <c r="N14" s="10">
        <f>IF(OR($D$4:N$4)=FALSE,"",IF(N$4=FALSE,M14,IF(OR($D$4:M$4)=FALSE,N10,10*LOG(1/(1/10^(N10/10)+1/(10^(M14/10)*10^(N8/10)))))))</f>
        <v>59.999955084881549</v>
      </c>
      <c r="O14" s="10">
        <f>IF(OR($D$4:O$4)=FALSE,"",IF(O$4=FALSE,N14,IF(OR($D$4:N$4)=FALSE,O10,10*LOG(1/(1/10^(O10/10)+1/(10^(N14/10)*10^(O8/10)))))))</f>
        <v>59.999955084881549</v>
      </c>
      <c r="P14" s="10">
        <f>IF(OR($D$4:P$4)=FALSE,"",IF(P$4=FALSE,O14,IF(OR($D$4:O$4)=FALSE,P10,10*LOG(1/(1/10^(P10/10)+1/(10^(O14/10)*10^(P8/10)))))))</f>
        <v>59.999955084881549</v>
      </c>
      <c r="Q14" s="10">
        <f>IF(OR($D$4:Q$4)=FALSE,"",IF(Q$4=FALSE,P14,IF(OR($D$4:P$4)=FALSE,Q10,10*LOG(1/(1/10^(Q10/10)+1/(10^(P14/10)*10^(Q8/10)))))))</f>
        <v>59.999955084881549</v>
      </c>
      <c r="R14" s="10">
        <f>IF(OR($D$4:R$4)=FALSE,"",IF(R$4=FALSE,Q14,IF(OR($D$4:Q$4)=FALSE,R10,10*LOG(1/(1/10^(R10/10)+1/(10^(Q14/10)*10^(R8/10)))))))</f>
        <v>59.999955084881549</v>
      </c>
      <c r="S14" s="6"/>
      <c r="T14" s="6"/>
      <c r="U14" s="6"/>
      <c r="V14" s="6"/>
    </row>
    <row r="15" spans="1:25" ht="17.25" thickBot="1" x14ac:dyDescent="0.2">
      <c r="A15" s="6"/>
      <c r="B15" s="35" t="s">
        <v>36</v>
      </c>
      <c r="C15" s="36" t="s">
        <v>3</v>
      </c>
      <c r="D15" s="22">
        <f>IF(AND(D4&lt;&gt;FALSE,D11&lt;&gt;""),D11,"")</f>
        <v>60</v>
      </c>
      <c r="E15" s="16">
        <f>IF(OR($D$4:E$4)=FALSE,"",IF(E$4=FALSE,D15,IF(OR($D$4:D$4)=FALSE,E11,10*LOG(1/(1/10^(E11/10)+1/(10^(D15/10)*10^(E8/10)))))))</f>
        <v>55.562240796437507</v>
      </c>
      <c r="F15" s="16">
        <f>IF(OR($D$4:F$4)=FALSE,"",IF(F$4=FALSE,E15,IF(OR($D$4:E$4)=FALSE,F11,10*LOG(1/(1/10^(F11/10)+1/(10^(E15/10)*10^(F8/10)))))))</f>
        <v>53.853895161972389</v>
      </c>
      <c r="G15" s="16">
        <f>IF(OR($D$4:G$4)=FALSE,"",IF(G$4=FALSE,F15,IF(OR($D$4:F$4)=FALSE,G11,10*LOG(1/(1/10^(G11/10)+1/(10^(F15/10)*10^(G8/10)))))))</f>
        <v>59.999955084881549</v>
      </c>
      <c r="H15" s="16">
        <f>IF(OR($D$4:H$4)=FALSE,"",IF(H$4=FALSE,G15,IF(OR($D$4:G$4)=FALSE,H11,10*LOG(1/(1/10^(H11/10)+1/(10^(G15/10)*10^(H8/10)))))))</f>
        <v>59.999955084881549</v>
      </c>
      <c r="I15" s="16">
        <f>IF(OR($D$4:I$4)=FALSE,"",IF(I$4=FALSE,H15,IF(OR($D$4:H$4)=FALSE,I11,10*LOG(1/(1/10^(I11/10)+1/(10^(H15/10)*10^(I8/10)))))))</f>
        <v>59.999955084881549</v>
      </c>
      <c r="J15" s="16">
        <f>IF(OR($D$4:J$4)=FALSE,"",IF(J$4=FALSE,I15,IF(OR($D$4:I$4)=FALSE,J11,10*LOG(1/(1/10^(J11/10)+1/(10^(I15/10)*10^(J8/10)))))))</f>
        <v>59.999955084881549</v>
      </c>
      <c r="K15" s="16">
        <f>IF(OR($D$4:K$4)=FALSE,"",IF(K$4=FALSE,J15,IF(OR($D$4:J$4)=FALSE,K11,10*LOG(1/(1/10^(K11/10)+1/(10^(J15/10)*10^(K8/10)))))))</f>
        <v>59.999955084881549</v>
      </c>
      <c r="L15" s="16">
        <f>IF(OR($D$4:L$4)=FALSE,"",IF(L$4=FALSE,K15,IF(OR($D$4:K$4)=FALSE,L11,10*LOG(1/(1/10^(L11/10)+1/(10^(K15/10)*10^(L8/10)))))))</f>
        <v>59.999955084881549</v>
      </c>
      <c r="M15" s="16">
        <f>IF(OR($D$4:M$4)=FALSE,"",IF(M$4=FALSE,L15,IF(OR($D$4:L$4)=FALSE,M11,10*LOG(1/(1/10^(M11/10)+1/(10^(L15/10)*10^(M8/10)))))))</f>
        <v>59.999955084881549</v>
      </c>
      <c r="N15" s="16">
        <f>IF(OR($D$4:N$4)=FALSE,"",IF(N$4=FALSE,M15,IF(OR($D$4:M$4)=FALSE,N11,10*LOG(1/(1/10^(N11/10)+1/(10^(M15/10)*10^(N8/10)))))))</f>
        <v>59.999955084881549</v>
      </c>
      <c r="O15" s="16">
        <f>IF(OR($D$4:O$4)=FALSE,"",IF(O$4=FALSE,N15,IF(OR($D$4:N$4)=FALSE,O11,10*LOG(1/(1/10^(O11/10)+1/(10^(N15/10)*10^(O8/10)))))))</f>
        <v>59.999955084881549</v>
      </c>
      <c r="P15" s="16">
        <f>IF(OR($D$4:P$4)=FALSE,"",IF(P$4=FALSE,O15,IF(OR($D$4:O$4)=FALSE,P11,10*LOG(1/(1/10^(P11/10)+1/(10^(O15/10)*10^(P8/10)))))))</f>
        <v>59.999955084881549</v>
      </c>
      <c r="Q15" s="16">
        <f>IF(OR($D$4:Q$4)=FALSE,"",IF(Q$4=FALSE,P15,IF(OR($D$4:P$4)=FALSE,Q11,10*LOG(1/(1/10^(Q11/10)+1/(10^(P15/10)*10^(Q8/10)))))))</f>
        <v>59.999955084881549</v>
      </c>
      <c r="R15" s="16">
        <f>IF(OR($D$4:R$4)=FALSE,"",IF(R$4=FALSE,Q15,IF(OR($D$4:Q$4)=FALSE,R11,10*LOG(1/(1/10^(R11/10)+1/(10^(Q15/10)*10^(R8/10)))))))</f>
        <v>59.999955084881549</v>
      </c>
      <c r="S15" s="6"/>
      <c r="T15" s="6"/>
      <c r="U15" s="6"/>
      <c r="V15" s="6"/>
    </row>
    <row r="16" spans="1:25" ht="17.25" thickTop="1" x14ac:dyDescent="0.15">
      <c r="A16" s="6"/>
      <c r="B16" s="37" t="s">
        <v>37</v>
      </c>
      <c r="C16" s="38" t="s">
        <v>3</v>
      </c>
      <c r="D16" s="14">
        <f>IF(AND(D4&lt;&gt;FALSE,G23&lt;&gt;""),G23,"")</f>
        <v>-50</v>
      </c>
      <c r="E16" s="11">
        <f>IF(OR($D$4:E$4)=FALSE,"",IF(E$4=FALSE,D16,IF(OR($D$4:D$4)=FALSE,$G$23,D17)))</f>
        <v>-50.8</v>
      </c>
      <c r="F16" s="11">
        <f>IF(OR($D$4:F$4)=FALSE,"",IF(F$4=FALSE,E16,IF(OR($D$4:E$4)=FALSE,$G$23,E17)))</f>
        <v>-53.3</v>
      </c>
      <c r="G16" s="11">
        <f>IF(OR($D$4:G$4)=FALSE,"",IF(G$4=FALSE,F16,IF(OR($D$4:F$4)=FALSE,$G$23,F17)))</f>
        <v>-53.8</v>
      </c>
      <c r="H16" s="11">
        <f>IF(OR($D$4:H$4)=FALSE,"",IF(H$4=FALSE,G16,IF(OR($D$4:G$4)=FALSE,$G$23,G17)))</f>
        <v>-53.8</v>
      </c>
      <c r="I16" s="11">
        <f>IF(OR($D$4:I$4)=FALSE,"",IF(I$4=FALSE,H16,IF(OR($D$4:H$4)=FALSE,$G$23,H17)))</f>
        <v>-53.8</v>
      </c>
      <c r="J16" s="11">
        <f>IF(OR($D$4:J$4)=FALSE,"",IF(J$4=FALSE,I16,IF(OR($D$4:I$4)=FALSE,$G$23,I17)))</f>
        <v>-53.8</v>
      </c>
      <c r="K16" s="11">
        <f>IF(OR($D$4:K$4)=FALSE,"",IF(K$4=FALSE,J16,IF(OR($D$4:J$4)=FALSE,$G$23,J17)))</f>
        <v>-53.8</v>
      </c>
      <c r="L16" s="11">
        <f>IF(OR($D$4:L$4)=FALSE,"",IF(L$4=FALSE,K16,IF(OR($D$4:K$4)=FALSE,$G$23,K17)))</f>
        <v>-53.8</v>
      </c>
      <c r="M16" s="11">
        <f>IF(OR($D$4:M$4)=FALSE,"",IF(M$4=FALSE,L16,IF(OR($D$4:L$4)=FALSE,$G$23,L17)))</f>
        <v>-53.8</v>
      </c>
      <c r="N16" s="11">
        <f>IF(OR($D$4:N$4)=FALSE,"",IF(N$4=FALSE,M16,IF(OR($D$4:M$4)=FALSE,$G$23,M17)))</f>
        <v>-53.8</v>
      </c>
      <c r="O16" s="11">
        <f>IF(OR($D$4:O$4)=FALSE,"",IF(O$4=FALSE,N16,IF(OR($D$4:N$4)=FALSE,$G$23,N17)))</f>
        <v>-53.8</v>
      </c>
      <c r="P16" s="11">
        <f>IF(OR($D$4:P$4)=FALSE,"",IF(P$4=FALSE,O16,IF(OR($D$4:O$4)=FALSE,$G$23,O17)))</f>
        <v>-53.8</v>
      </c>
      <c r="Q16" s="11">
        <f>IF(OR($D$4:Q$4)=FALSE,"",IF(Q$4=FALSE,P16,IF(OR($D$4:P$4)=FALSE,$G$23,P17)))</f>
        <v>-53.8</v>
      </c>
      <c r="R16" s="11">
        <f>IF(OR($D$4:R$4)=FALSE,"",IF(R$4=FALSE,Q16,IF(OR($D$4:Q$4)=FALSE,$G$23,Q17)))</f>
        <v>-53.8</v>
      </c>
      <c r="S16" s="6"/>
      <c r="T16" s="6"/>
      <c r="U16" s="6"/>
      <c r="V16" s="6"/>
    </row>
    <row r="17" spans="1:22" x14ac:dyDescent="0.15">
      <c r="A17" s="6"/>
      <c r="B17" s="25" t="s">
        <v>8</v>
      </c>
      <c r="C17" s="26" t="s">
        <v>3</v>
      </c>
      <c r="D17" s="12">
        <f>IF(AND(D4&lt;&gt;FALSE,D8&lt;&gt;"",D16&lt;&gt;""),D16+D8,"")</f>
        <v>-50.8</v>
      </c>
      <c r="E17" s="10">
        <f>IF(AND(E4&lt;&gt;FALSE,E16&lt;&gt;"",E16&lt;&gt;""),E8+E16,D17)</f>
        <v>-53.3</v>
      </c>
      <c r="F17" s="10">
        <f t="shared" ref="F17:M17" si="0">IF(AND(F4&lt;&gt;FALSE,F16&lt;&gt;"",F16&lt;&gt;""),F8+F16,E17)</f>
        <v>-53.8</v>
      </c>
      <c r="G17" s="10">
        <f t="shared" si="0"/>
        <v>2.2000000000000028</v>
      </c>
      <c r="H17" s="10">
        <f t="shared" si="0"/>
        <v>2.2000000000000028</v>
      </c>
      <c r="I17" s="10">
        <f t="shared" si="0"/>
        <v>2.2000000000000028</v>
      </c>
      <c r="J17" s="10">
        <f t="shared" si="0"/>
        <v>2.2000000000000028</v>
      </c>
      <c r="K17" s="10">
        <f t="shared" si="0"/>
        <v>2.2000000000000028</v>
      </c>
      <c r="L17" s="10">
        <f t="shared" si="0"/>
        <v>2.2000000000000028</v>
      </c>
      <c r="M17" s="10">
        <f t="shared" si="0"/>
        <v>2.2000000000000028</v>
      </c>
      <c r="N17" s="10">
        <f>IF(AND(N4&lt;&gt;FALSE,N16&lt;&gt;"",N16&lt;&gt;""),N8+N16,M17)</f>
        <v>2.2000000000000028</v>
      </c>
      <c r="O17" s="10">
        <f>IF(AND(O4&lt;&gt;FALSE,O16&lt;&gt;"",O16&lt;&gt;""),O8+O16,N17)</f>
        <v>2.2000000000000028</v>
      </c>
      <c r="P17" s="10">
        <f>IF(AND(P4&lt;&gt;FALSE,P16&lt;&gt;"",P16&lt;&gt;""),P8+P16,O17)</f>
        <v>2.2000000000000028</v>
      </c>
      <c r="Q17" s="10">
        <f>IF(AND(Q4&lt;&gt;FALSE,Q16&lt;&gt;"",Q16&lt;&gt;""),Q8+Q16,P17)</f>
        <v>2.2000000000000028</v>
      </c>
      <c r="R17" s="10">
        <f>IF(AND(R4&lt;&gt;FALSE,R16&lt;&gt;"",R16&lt;&gt;""),R8+R16,Q17)</f>
        <v>2.2000000000000028</v>
      </c>
      <c r="S17" s="6"/>
      <c r="T17" s="6"/>
      <c r="U17" s="6"/>
      <c r="V17" s="6"/>
    </row>
    <row r="18" spans="1:22" x14ac:dyDescent="0.15">
      <c r="A18" s="6"/>
      <c r="B18" s="27" t="s">
        <v>9</v>
      </c>
      <c r="C18" s="28" t="s">
        <v>1</v>
      </c>
      <c r="D18" s="12">
        <f>IF(AND(D4&lt;&gt;FALSE,D10&lt;&gt;"",D17&lt;&gt;""),D10-D17,"")</f>
        <v>110.8</v>
      </c>
      <c r="E18" s="10">
        <f>IF(AND(E4&lt;&gt;FALSE,E10&lt;&gt;"",E17&lt;&gt;""),E10-E17,D18)</f>
        <v>113.3</v>
      </c>
      <c r="F18" s="10">
        <f t="shared" ref="F18:M18" si="1">IF(AND(F4&lt;&gt;FALSE,F10&lt;&gt;"",F17&lt;&gt;""),F10-F17,E18)</f>
        <v>113.8</v>
      </c>
      <c r="G18" s="10">
        <f t="shared" si="1"/>
        <v>57.8</v>
      </c>
      <c r="H18" s="10">
        <f t="shared" si="1"/>
        <v>57.8</v>
      </c>
      <c r="I18" s="10">
        <f t="shared" si="1"/>
        <v>57.8</v>
      </c>
      <c r="J18" s="10">
        <f t="shared" si="1"/>
        <v>57.8</v>
      </c>
      <c r="K18" s="10">
        <f t="shared" si="1"/>
        <v>57.8</v>
      </c>
      <c r="L18" s="10">
        <f t="shared" si="1"/>
        <v>57.8</v>
      </c>
      <c r="M18" s="10" t="e">
        <f t="shared" si="1"/>
        <v>#N/A</v>
      </c>
      <c r="N18" s="10" t="e">
        <f>IF(AND(N4&lt;&gt;FALSE,N10&lt;&gt;"",N17&lt;&gt;""),N10-N17,M18)</f>
        <v>#N/A</v>
      </c>
      <c r="O18" s="10" t="e">
        <f>IF(AND(O4&lt;&gt;FALSE,O10&lt;&gt;"",O17&lt;&gt;""),O10-O17,N18)</f>
        <v>#N/A</v>
      </c>
      <c r="P18" s="10" t="e">
        <f>IF(AND(P4&lt;&gt;FALSE,P10&lt;&gt;"",P17&lt;&gt;""),P10-P17,O18)</f>
        <v>#N/A</v>
      </c>
      <c r="Q18" s="10" t="e">
        <f>IF(AND(Q4&lt;&gt;FALSE,Q10&lt;&gt;"",Q17&lt;&gt;""),Q10-Q17,P18)</f>
        <v>#N/A</v>
      </c>
      <c r="R18" s="10" t="e">
        <f>IF(AND(R4&lt;&gt;FALSE,R10&lt;&gt;"",R17&lt;&gt;""),R10-R17,Q18)</f>
        <v>#N/A</v>
      </c>
      <c r="S18" s="6"/>
      <c r="T18" s="6"/>
      <c r="U18" s="6"/>
      <c r="V18" s="6"/>
    </row>
    <row r="19" spans="1:22" x14ac:dyDescent="0.15">
      <c r="A19" s="6"/>
      <c r="B19" s="25" t="s">
        <v>10</v>
      </c>
      <c r="C19" s="26" t="s">
        <v>42</v>
      </c>
      <c r="D19" s="12">
        <f>IF(AND(D4&lt;&gt;FALSE,D15&lt;&gt;"",D17&lt;&gt;""),2*(D15-D17),"")</f>
        <v>221.6</v>
      </c>
      <c r="E19" s="10">
        <f>IF(AND(E4&lt;&gt;FALSE,E15&lt;&gt;"",E17&lt;&gt;""),2*(E15-E17),D19)</f>
        <v>217.72448159287501</v>
      </c>
      <c r="F19" s="10">
        <f>IF(AND(F4&lt;&gt;FALSE,F15&lt;&gt;"",F17&lt;&gt;""),2*(F15-F17),E19)</f>
        <v>215.30779032394477</v>
      </c>
      <c r="G19" s="10">
        <f>IF(AND(G4&lt;&gt;FALSE,G15&lt;&gt;"",G17&lt;&gt;""),2*(G15-G17),F19)</f>
        <v>115.59991016976309</v>
      </c>
      <c r="H19" s="10">
        <f>IF(AND(H4&lt;&gt;FALSE,H15&lt;&gt;"",H17&lt;&gt;""),2*(H15-H17),G19)</f>
        <v>115.59991016976309</v>
      </c>
      <c r="I19" s="10">
        <f t="shared" ref="I19:R19" si="2">IF(AND(I4&lt;&gt;FALSE,I15&lt;&gt;"",I17&lt;&gt;""),2*(I15-I17),H19)</f>
        <v>115.59991016976309</v>
      </c>
      <c r="J19" s="10">
        <f t="shared" si="2"/>
        <v>115.59991016976309</v>
      </c>
      <c r="K19" s="10">
        <f t="shared" si="2"/>
        <v>115.59991016976309</v>
      </c>
      <c r="L19" s="10">
        <f t="shared" si="2"/>
        <v>115.59991016976309</v>
      </c>
      <c r="M19" s="10">
        <f t="shared" si="2"/>
        <v>115.59991016976309</v>
      </c>
      <c r="N19" s="10">
        <f t="shared" si="2"/>
        <v>115.59991016976309</v>
      </c>
      <c r="O19" s="10">
        <f t="shared" si="2"/>
        <v>115.59991016976309</v>
      </c>
      <c r="P19" s="10">
        <f t="shared" si="2"/>
        <v>115.59991016976309</v>
      </c>
      <c r="Q19" s="10">
        <f t="shared" si="2"/>
        <v>115.59991016976309</v>
      </c>
      <c r="R19" s="10">
        <f t="shared" si="2"/>
        <v>115.59991016976309</v>
      </c>
      <c r="S19" s="6"/>
      <c r="T19" s="6"/>
      <c r="U19" s="6"/>
      <c r="V19" s="6"/>
    </row>
    <row r="20" spans="1:22" x14ac:dyDescent="0.15">
      <c r="A20" s="6"/>
      <c r="B20" s="39" t="s">
        <v>13</v>
      </c>
      <c r="C20" s="40" t="s">
        <v>1</v>
      </c>
      <c r="D20" s="12">
        <f>IF(AND(D4&lt;&gt;FALSE,D15&lt;&gt;"",D17&lt;&gt;"",$G$28&lt;&gt;""),-20.75+1.6*$G$28+2*(D17-D15),"")</f>
        <v>-226.35</v>
      </c>
      <c r="E20" s="10">
        <f>IF(AND(E4&lt;&gt;FALSE,E15&lt;&gt;"",E17&lt;&gt;"",$G$28&lt;&gt;""),-20.75+1.6*$G$28+2*(E17-E15),D20)</f>
        <v>-222.47448159287501</v>
      </c>
      <c r="F20" s="10">
        <f t="shared" ref="F20:M20" si="3">IF(AND(F4&lt;&gt;FALSE,F15&lt;&gt;"",F17&lt;&gt;"",$G$28&lt;&gt;""),-20.75+1.6*$G$28+2*(F17-F15),E20)</f>
        <v>-220.05779032394477</v>
      </c>
      <c r="G20" s="10">
        <f t="shared" si="3"/>
        <v>-120.34991016976309</v>
      </c>
      <c r="H20" s="10">
        <f t="shared" si="3"/>
        <v>-120.34991016976309</v>
      </c>
      <c r="I20" s="10">
        <f t="shared" si="3"/>
        <v>-120.34991016976309</v>
      </c>
      <c r="J20" s="10">
        <f t="shared" si="3"/>
        <v>-120.34991016976309</v>
      </c>
      <c r="K20" s="10">
        <f t="shared" si="3"/>
        <v>-120.34991016976309</v>
      </c>
      <c r="L20" s="10">
        <f t="shared" si="3"/>
        <v>-120.34991016976309</v>
      </c>
      <c r="M20" s="10">
        <f t="shared" si="3"/>
        <v>-120.34991016976309</v>
      </c>
      <c r="N20" s="10">
        <f>IF(AND(N4&lt;&gt;FALSE,N15&lt;&gt;"",N17&lt;&gt;"",$G$28&lt;&gt;""),-20.75+1.6*$G$28+2*(N17-N15),M20)</f>
        <v>-120.34991016976309</v>
      </c>
      <c r="O20" s="10">
        <f>IF(AND(O4&lt;&gt;FALSE,O15&lt;&gt;"",O17&lt;&gt;"",$G$28&lt;&gt;""),-20.75+1.6*$G$28+2*(O17-O15),N20)</f>
        <v>-120.34991016976309</v>
      </c>
      <c r="P20" s="10">
        <f>IF(AND(P4&lt;&gt;FALSE,P15&lt;&gt;"",P17&lt;&gt;"",$G$28&lt;&gt;""),-20.75+1.6*$G$28+2*(P17-P15),O20)</f>
        <v>-120.34991016976309</v>
      </c>
      <c r="Q20" s="10">
        <f>IF(AND(Q4&lt;&gt;FALSE,Q15&lt;&gt;"",Q17&lt;&gt;"",$G$28&lt;&gt;""),-20.75+1.6*$G$28+2*(Q17-Q15),P20)</f>
        <v>-120.34991016976309</v>
      </c>
      <c r="R20" s="10">
        <f>IF(AND(R4&lt;&gt;FALSE,R15&lt;&gt;"",R17&lt;&gt;"",$G$28&lt;&gt;""),-20.75+1.6*$G$28+2*(R17-R15),Q20)</f>
        <v>-120.34991016976309</v>
      </c>
      <c r="S20" s="6"/>
      <c r="T20" s="6"/>
      <c r="U20" s="6"/>
      <c r="V20" s="6"/>
    </row>
    <row r="21" spans="1:22" x14ac:dyDescent="0.1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</row>
    <row r="22" spans="1:22" x14ac:dyDescent="0.15">
      <c r="A22" s="6"/>
      <c r="B22" s="44"/>
      <c r="C22" s="44"/>
      <c r="D22" s="74" t="s">
        <v>11</v>
      </c>
      <c r="E22" s="74"/>
      <c r="F22" s="74"/>
      <c r="G22" s="74"/>
      <c r="H22" s="46"/>
      <c r="I22" s="68" t="s">
        <v>48</v>
      </c>
      <c r="J22" s="69"/>
      <c r="K22" s="69"/>
      <c r="L22" s="69"/>
      <c r="M22" s="70"/>
      <c r="N22" s="6"/>
      <c r="O22" s="65" t="s">
        <v>19</v>
      </c>
      <c r="P22" s="66"/>
      <c r="Q22" s="66"/>
      <c r="R22" s="67"/>
      <c r="S22" s="6"/>
      <c r="T22" s="6"/>
      <c r="U22" s="6"/>
      <c r="V22" s="6"/>
    </row>
    <row r="23" spans="1:22" x14ac:dyDescent="0.15">
      <c r="A23" s="6"/>
      <c r="B23" s="44"/>
      <c r="C23" s="44"/>
      <c r="D23" s="74" t="s">
        <v>37</v>
      </c>
      <c r="E23" s="74"/>
      <c r="F23" s="19" t="s">
        <v>3</v>
      </c>
      <c r="G23" s="20">
        <v>-50</v>
      </c>
      <c r="H23" s="6"/>
      <c r="I23" s="74" t="s">
        <v>16</v>
      </c>
      <c r="J23" s="74"/>
      <c r="K23" s="74"/>
      <c r="L23" s="19" t="s">
        <v>3</v>
      </c>
      <c r="M23" s="12">
        <f>IF(AND(G25&lt;&gt;"",G27&lt;&gt;"",G26&lt;&gt;""),10*LOG(1.3806505*10^(-20)*G25*10^6*G27)+LOOKUP(9E+307,13:13)+G26,"")</f>
        <v>-99.214574719691228</v>
      </c>
      <c r="N23" s="6"/>
      <c r="O23" s="71" t="s">
        <v>21</v>
      </c>
      <c r="P23" s="72"/>
      <c r="Q23" s="72"/>
      <c r="R23" s="73"/>
      <c r="S23" s="6"/>
      <c r="T23" s="6"/>
      <c r="U23" s="6"/>
      <c r="V23" s="6"/>
    </row>
    <row r="24" spans="1:22" x14ac:dyDescent="0.15">
      <c r="A24" s="6"/>
      <c r="B24" s="44"/>
      <c r="C24" s="44"/>
      <c r="D24" s="74" t="s">
        <v>14</v>
      </c>
      <c r="E24" s="74"/>
      <c r="F24" s="19" t="s">
        <v>1</v>
      </c>
      <c r="G24" s="20">
        <v>10</v>
      </c>
      <c r="H24" s="6"/>
      <c r="I24" s="74" t="s">
        <v>17</v>
      </c>
      <c r="J24" s="74"/>
      <c r="K24" s="74"/>
      <c r="L24" s="19" t="s">
        <v>49</v>
      </c>
      <c r="M24" s="12">
        <f>IF(AND(G27&lt;&gt;""),10*LOG(1.3806505*10^(-20)*G27)+LOOKUP(9E+307,13:13),"")</f>
        <v>-167.75699981408448</v>
      </c>
      <c r="N24" s="6"/>
      <c r="O24" s="71" t="s">
        <v>51</v>
      </c>
      <c r="P24" s="72"/>
      <c r="Q24" s="72"/>
      <c r="R24" s="73"/>
      <c r="S24" s="6"/>
      <c r="T24" s="6"/>
      <c r="U24" s="6"/>
      <c r="V24" s="6"/>
    </row>
    <row r="25" spans="1:22" x14ac:dyDescent="0.15">
      <c r="A25" s="6"/>
      <c r="B25" s="44"/>
      <c r="C25" s="44"/>
      <c r="D25" s="74" t="s">
        <v>43</v>
      </c>
      <c r="E25" s="74"/>
      <c r="F25" s="19" t="s">
        <v>25</v>
      </c>
      <c r="G25" s="20">
        <v>9</v>
      </c>
      <c r="H25" s="6"/>
      <c r="I25" s="74" t="s">
        <v>22</v>
      </c>
      <c r="J25" s="74"/>
      <c r="K25" s="74"/>
      <c r="L25" s="19" t="s">
        <v>20</v>
      </c>
      <c r="M25" s="12">
        <f>IF(AND(M24&lt;&gt;""),M24+LOOKUP(9E+307,12:12),"")</f>
        <v>-115.55699981408448</v>
      </c>
      <c r="N25" s="6"/>
      <c r="O25" s="71" t="s">
        <v>33</v>
      </c>
      <c r="P25" s="72"/>
      <c r="Q25" s="72"/>
      <c r="R25" s="73"/>
      <c r="S25" s="6"/>
      <c r="T25" s="6"/>
      <c r="U25" s="6"/>
      <c r="V25" s="6"/>
    </row>
    <row r="26" spans="1:22" x14ac:dyDescent="0.15">
      <c r="A26" s="6"/>
      <c r="B26" s="44"/>
      <c r="C26" s="44"/>
      <c r="D26" s="74" t="s">
        <v>44</v>
      </c>
      <c r="E26" s="74"/>
      <c r="F26" s="19" t="s">
        <v>1</v>
      </c>
      <c r="G26" s="20">
        <v>-1</v>
      </c>
      <c r="H26" s="6"/>
      <c r="I26" s="74" t="s">
        <v>15</v>
      </c>
      <c r="J26" s="74"/>
      <c r="K26" s="74"/>
      <c r="L26" s="19" t="s">
        <v>20</v>
      </c>
      <c r="M26" s="12">
        <f>IF(AND(G25&lt;&gt;"",G27&lt;&gt;""),10*LOG(1.3806505*10^(-20)*G25*10^6*G27)+LOOKUP(9E+307,13:13),"")</f>
        <v>-98.214574719691228</v>
      </c>
      <c r="N26" s="6"/>
      <c r="O26" s="71" t="s">
        <v>34</v>
      </c>
      <c r="P26" s="72"/>
      <c r="Q26" s="72"/>
      <c r="R26" s="73"/>
      <c r="S26" s="6"/>
      <c r="T26" s="6"/>
      <c r="U26" s="6"/>
      <c r="V26" s="6"/>
    </row>
    <row r="27" spans="1:22" x14ac:dyDescent="0.15">
      <c r="A27" s="6"/>
      <c r="B27" s="44"/>
      <c r="C27" s="44"/>
      <c r="D27" s="74" t="s">
        <v>45</v>
      </c>
      <c r="E27" s="74"/>
      <c r="F27" s="19" t="s">
        <v>46</v>
      </c>
      <c r="G27" s="20">
        <v>298</v>
      </c>
      <c r="H27" s="6"/>
      <c r="I27" s="74" t="s">
        <v>18</v>
      </c>
      <c r="J27" s="74"/>
      <c r="K27" s="74"/>
      <c r="L27" s="19" t="s">
        <v>20</v>
      </c>
      <c r="M27" s="12">
        <f>IF(AND(M26&lt;&gt;""),M26+LOOKUP(9E+307,12:12),"")</f>
        <v>-46.014574719691225</v>
      </c>
      <c r="N27" s="6"/>
      <c r="O27" s="71" t="s">
        <v>23</v>
      </c>
      <c r="P27" s="72"/>
      <c r="Q27" s="72"/>
      <c r="R27" s="73"/>
      <c r="S27" s="6"/>
      <c r="T27" s="6"/>
      <c r="U27" s="6"/>
      <c r="V27" s="6"/>
    </row>
    <row r="28" spans="1:22" x14ac:dyDescent="0.15">
      <c r="A28" s="6"/>
      <c r="B28" s="44"/>
      <c r="C28" s="44"/>
      <c r="D28" s="74" t="s">
        <v>12</v>
      </c>
      <c r="E28" s="74"/>
      <c r="F28" s="19" t="s">
        <v>1</v>
      </c>
      <c r="G28" s="20">
        <v>10</v>
      </c>
      <c r="H28" s="6"/>
      <c r="I28" s="74" t="s">
        <v>50</v>
      </c>
      <c r="J28" s="74"/>
      <c r="K28" s="74"/>
      <c r="L28" s="19" t="s">
        <v>1</v>
      </c>
      <c r="M28" s="12">
        <f>G23-M26</f>
        <v>48.214574719691228</v>
      </c>
      <c r="N28" s="6"/>
      <c r="O28" s="71" t="s">
        <v>35</v>
      </c>
      <c r="P28" s="72"/>
      <c r="Q28" s="72"/>
      <c r="R28" s="73"/>
      <c r="S28" s="6"/>
      <c r="T28" s="6"/>
      <c r="U28" s="6"/>
      <c r="V28" s="6"/>
    </row>
    <row r="29" spans="1:22" x14ac:dyDescent="0.15">
      <c r="A29" s="6"/>
      <c r="B29" s="44"/>
      <c r="C29" s="44"/>
      <c r="D29" s="74" t="s">
        <v>28</v>
      </c>
      <c r="E29" s="74"/>
      <c r="F29" s="19"/>
      <c r="G29" s="20" t="s">
        <v>116</v>
      </c>
      <c r="H29" s="47"/>
      <c r="I29" s="74" t="s">
        <v>27</v>
      </c>
      <c r="J29" s="74"/>
      <c r="K29" s="74"/>
      <c r="L29" s="19"/>
      <c r="M29" s="18" t="str">
        <f>IF(G29="是",IF(LOOKUP(9E+307,17:17)&gt;G31,"起控","未起控"),"无效")</f>
        <v>无效</v>
      </c>
      <c r="N29" s="6"/>
      <c r="O29" s="6"/>
      <c r="P29" s="6"/>
      <c r="Q29" s="6"/>
      <c r="R29" s="6"/>
      <c r="S29" s="6"/>
      <c r="T29" s="6"/>
      <c r="U29" s="6"/>
      <c r="V29" s="6"/>
    </row>
    <row r="30" spans="1:22" x14ac:dyDescent="0.15">
      <c r="A30" s="6"/>
      <c r="B30" s="6"/>
      <c r="C30" s="6"/>
      <c r="D30" s="74" t="s">
        <v>60</v>
      </c>
      <c r="E30" s="74"/>
      <c r="F30" s="19"/>
      <c r="G30" s="20">
        <v>6</v>
      </c>
      <c r="H30" s="6"/>
      <c r="I30" s="74" t="s">
        <v>32</v>
      </c>
      <c r="J30" s="74"/>
      <c r="K30" s="74"/>
      <c r="L30" s="19" t="s">
        <v>1</v>
      </c>
      <c r="M30" s="12">
        <f>LOOKUP(9E+307,17:17)-G31</f>
        <v>-14.799999999999997</v>
      </c>
      <c r="N30" s="6"/>
      <c r="O30" s="6"/>
      <c r="P30" s="6"/>
      <c r="Q30" s="6"/>
      <c r="R30" s="6"/>
      <c r="S30" s="6"/>
      <c r="T30" s="6"/>
      <c r="U30" s="6"/>
      <c r="V30" s="6"/>
    </row>
    <row r="31" spans="1:22" x14ac:dyDescent="0.15">
      <c r="A31" s="6"/>
      <c r="B31" s="6"/>
      <c r="C31" s="6"/>
      <c r="D31" s="74" t="s">
        <v>47</v>
      </c>
      <c r="E31" s="74"/>
      <c r="F31" s="19" t="s">
        <v>3</v>
      </c>
      <c r="G31" s="20">
        <v>17</v>
      </c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</row>
    <row r="32" spans="1:22" x14ac:dyDescent="0.15">
      <c r="A32" s="6"/>
      <c r="B32" s="6"/>
      <c r="C32" s="6"/>
      <c r="D32" s="6" t="s">
        <v>68</v>
      </c>
      <c r="E32" s="6"/>
      <c r="F32" s="6"/>
      <c r="G32" s="6">
        <v>65</v>
      </c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</row>
    <row r="33" spans="1:22" x14ac:dyDescent="0.15">
      <c r="A33" s="6"/>
      <c r="B33" s="6"/>
      <c r="C33" s="6"/>
      <c r="D33" s="44"/>
      <c r="E33" s="44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</row>
    <row r="34" spans="1:22" x14ac:dyDescent="0.15">
      <c r="A34" s="6"/>
      <c r="B34" s="6"/>
      <c r="C34" s="6"/>
      <c r="D34" s="44"/>
      <c r="E34" s="44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</row>
    <row r="35" spans="1:22" x14ac:dyDescent="0.15">
      <c r="A35" s="6"/>
      <c r="B35" s="6"/>
      <c r="C35" s="6"/>
      <c r="D35" s="44"/>
      <c r="E35" s="44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</row>
    <row r="36" spans="1:22" x14ac:dyDescent="0.15">
      <c r="C36" s="6"/>
      <c r="D36" s="44"/>
      <c r="E36" s="44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</row>
    <row r="37" spans="1:22" x14ac:dyDescent="0.15">
      <c r="D37" s="44"/>
      <c r="E37" s="44"/>
      <c r="F37" s="6"/>
      <c r="G37" s="6"/>
    </row>
    <row r="38" spans="1:22" x14ac:dyDescent="0.15">
      <c r="D38" s="44"/>
      <c r="E38" s="44"/>
    </row>
    <row r="39" spans="1:22" x14ac:dyDescent="0.15">
      <c r="D39" s="44"/>
      <c r="E39" s="44"/>
    </row>
  </sheetData>
  <mergeCells count="27">
    <mergeCell ref="B1:C3"/>
    <mergeCell ref="D22:G22"/>
    <mergeCell ref="I22:M22"/>
    <mergeCell ref="O22:R22"/>
    <mergeCell ref="D23:E23"/>
    <mergeCell ref="I23:K23"/>
    <mergeCell ref="O23:R23"/>
    <mergeCell ref="D24:E24"/>
    <mergeCell ref="I24:K24"/>
    <mergeCell ref="O24:R24"/>
    <mergeCell ref="D25:E25"/>
    <mergeCell ref="I25:K25"/>
    <mergeCell ref="O25:R25"/>
    <mergeCell ref="D26:E26"/>
    <mergeCell ref="I26:K26"/>
    <mergeCell ref="O26:R26"/>
    <mergeCell ref="D27:E27"/>
    <mergeCell ref="I27:K27"/>
    <mergeCell ref="O27:R27"/>
    <mergeCell ref="D31:E31"/>
    <mergeCell ref="D28:E28"/>
    <mergeCell ref="I28:K28"/>
    <mergeCell ref="O28:R28"/>
    <mergeCell ref="D29:E29"/>
    <mergeCell ref="I29:K29"/>
    <mergeCell ref="D30:E30"/>
    <mergeCell ref="I30:K30"/>
  </mergeCells>
  <phoneticPr fontId="16" type="noConversion"/>
  <conditionalFormatting sqref="D18:R18">
    <cfRule type="cellIs" dxfId="69" priority="11" operator="lessThan">
      <formula>$G24</formula>
    </cfRule>
  </conditionalFormatting>
  <conditionalFormatting sqref="D5:R11">
    <cfRule type="expression" dxfId="68" priority="10">
      <formula>D$4=FALSE</formula>
    </cfRule>
  </conditionalFormatting>
  <conditionalFormatting sqref="M29">
    <cfRule type="cellIs" dxfId="67" priority="8" operator="equal">
      <formula>"未起控"</formula>
    </cfRule>
    <cfRule type="cellIs" dxfId="66" priority="9" operator="equal">
      <formula>"起控"</formula>
    </cfRule>
  </conditionalFormatting>
  <conditionalFormatting sqref="D12:R20">
    <cfRule type="expression" dxfId="65" priority="3">
      <formula>D$4=FALSE</formula>
    </cfRule>
  </conditionalFormatting>
  <conditionalFormatting sqref="D4:I4 K4:R4">
    <cfRule type="cellIs" dxfId="64" priority="6" operator="equal">
      <formula>FALSE</formula>
    </cfRule>
    <cfRule type="cellIs" dxfId="63" priority="7" operator="equal">
      <formula>TRUE</formula>
    </cfRule>
  </conditionalFormatting>
  <conditionalFormatting sqref="J4">
    <cfRule type="cellIs" dxfId="62" priority="4" operator="equal">
      <formula>FALSE</formula>
    </cfRule>
    <cfRule type="cellIs" dxfId="61" priority="5" operator="equal">
      <formula>TRUE</formula>
    </cfRule>
  </conditionalFormatting>
  <conditionalFormatting sqref="N13">
    <cfRule type="expression" dxfId="60" priority="1" stopIfTrue="1">
      <formula>$H$24&lt;0</formula>
    </cfRule>
    <cfRule type="expression" dxfId="59" priority="2">
      <formula>$H$24&gt;0</formula>
    </cfRule>
  </conditionalFormatting>
  <dataValidations count="21">
    <dataValidation type="list" allowBlank="1" showInputMessage="1" showErrorMessage="1" sqref="G6">
      <formula1>"WTR3925,WTR2965,"</formula1>
    </dataValidation>
    <dataValidation type="list" allowBlank="1" showInputMessage="1" showErrorMessage="1" sqref="E6">
      <formula1>"SAYEY1G95GA0F0A(B1),SAYEY1G74BC0B0A(B3),SFX836CYA02(B5),SAYEY2G53BC0F0A(B7),SAYEY2G53BA0F0A(B7),SAYEY897MBG0F0A(B8),SAYEY897MBA0B0A(B8),SAYEY806MBA0F0A(B20),SAYEY806MBC0F0A(B20),SFX718BYJ02(B28A),SFX733BYJ02(B28B),"</formula1>
    </dataValidation>
    <dataValidation type="list" allowBlank="1" showInputMessage="1" showErrorMessage="1" sqref="D6">
      <formula1>"QM57508,RF5212A,"</formula1>
    </dataValidation>
    <dataValidation type="list" allowBlank="1" showInputMessage="1" showErrorMessage="1" sqref="I5:J5 D5:G5">
      <formula1>"衰减器,放大器,混频器,LC滤波器,声表滤波器,隔离器,多工器,双工器,Cable,Diplexer,Duplexer,balun,Trace loss,Tranceiver,Filter,Switcher,Tx module,Multiplexer,LNA,PA,"</formula1>
    </dataValidation>
    <dataValidation type="list" allowBlank="1" showInputMessage="1" showErrorMessage="1" sqref="H6">
      <formula1>"RTC8612H,AS186-302,QFE1045,QFE1040,QFE1035,"</formula1>
    </dataValidation>
    <dataValidation type="list" allowBlank="1" showInputMessage="1" showErrorMessage="1" sqref="H5">
      <formula1>"衰减器,放大器,LNA,混频器,LC滤波器,声表滤波器,隔离器,多工器,双工器,开关,Cable,Diplexer,Duplexer,balun,Trace loss,Tranceiver,Filter,Switcher,Tx module,Multiplexer,"</formula1>
    </dataValidation>
    <dataValidation type="list" allowBlank="1" showInputMessage="1" showErrorMessage="1" sqref="J6:K6">
      <formula1>"WTR3925,"</formula1>
    </dataValidation>
    <dataValidation type="list" allowBlank="1" showInputMessage="1" showErrorMessage="1" sqref="K5">
      <formula1>"衰减器,放大器,LNA,,混频器,LC滤波器,声表滤波器,隔离器,多工器,双工器,开关,Cable,Diplexer,Duplexer,Trace loss,Tranceiver,"</formula1>
    </dataValidation>
    <dataValidation type="list" allowBlank="1" showInputMessage="1" showErrorMessage="1" sqref="I6 F6">
      <formula1>"est.,"</formula1>
    </dataValidation>
    <dataValidation type="list" allowBlank="1" showInputMessage="1" showErrorMessage="1" sqref="M6:N6">
      <formula1>"mga43528,mga43628,PW210,PW290,SGA6389,BG18C,PNH15,AH1,AH102,SKY65162-70LF,SXB-4089,ECG003,"</formula1>
    </dataValidation>
    <dataValidation type="list" allowBlank="1" showInputMessage="1" showErrorMessage="1" sqref="L6">
      <formula1>"8dB,6dB,5dB,2dB,pe4302,0Ω,hsmp3866_0,hsmp3866_10,hsmp3866_20,"</formula1>
    </dataValidation>
    <dataValidation type="list" allowBlank="1" showInputMessage="1" showErrorMessage="1" sqref="O6">
      <formula1>"AS186-302,"</formula1>
    </dataValidation>
    <dataValidation type="list" allowBlank="1" showInputMessage="1" showErrorMessage="1" sqref="L5:P5">
      <formula1>"衰减器,放大器,LNA,混频器,LC滤波器,声表滤波器,隔离器,多工器,双工器,开关,"</formula1>
    </dataValidation>
    <dataValidation type="whole" allowBlank="1" showInputMessage="1" showErrorMessage="1" sqref="G23">
      <formula1>-90</formula1>
      <formula2>10</formula2>
    </dataValidation>
    <dataValidation type="list" allowBlank="1" showInputMessage="1" showErrorMessage="1" sqref="G29">
      <formula1>"是,否"</formula1>
    </dataValidation>
    <dataValidation type="list" allowBlank="1" showInputMessage="1" showErrorMessage="1" sqref="F29">
      <formula1>#REF!</formula1>
    </dataValidation>
    <dataValidation type="list" allowBlank="1" showInputMessage="1" showErrorMessage="1" sqref="P6">
      <formula1>"射频声表,"</formula1>
    </dataValidation>
    <dataValidation type="list" allowBlank="1" showInputMessage="1" showErrorMessage="1" sqref="Q6:R6">
      <formula1>"8dB,5dB,2dB,pe4302,0Ω,hsmp-3814,"</formula1>
    </dataValidation>
    <dataValidation type="list" allowBlank="1" showInputMessage="1" showErrorMessage="1" sqref="Q5">
      <formula1>"衰减器,放大器,LNA,混频器,LC滤波器,声表滤波器,隔离器,双工器,,"</formula1>
    </dataValidation>
    <dataValidation type="list" allowBlank="1" showInputMessage="1" showErrorMessage="1" sqref="D7:R7">
      <formula1>频率</formula1>
    </dataValidation>
    <dataValidation type="list" allowBlank="1" showInputMessage="1" showErrorMessage="1" sqref="R5">
      <formula1>种类</formula1>
    </dataValidation>
  </dataValidations>
  <pageMargins left="0.7" right="0.7" top="0.75" bottom="0.75" header="0.3" footer="0.3"/>
  <pageSetup paperSize="9" scale="49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88121" r:id="rId4" name="交换">
          <controlPr autoLine="0" r:id="rId5">
            <anchor moveWithCells="1">
              <from>
                <xdr:col>0</xdr:col>
                <xdr:colOff>66675</xdr:colOff>
                <xdr:row>2</xdr:row>
                <xdr:rowOff>200025</xdr:rowOff>
              </from>
              <to>
                <xdr:col>1</xdr:col>
                <xdr:colOff>0</xdr:colOff>
                <xdr:row>4</xdr:row>
                <xdr:rowOff>57150</xdr:rowOff>
              </to>
            </anchor>
          </controlPr>
        </control>
      </mc:Choice>
      <mc:Fallback>
        <control shapeId="88121" r:id="rId4" name="交换"/>
      </mc:Fallback>
    </mc:AlternateContent>
    <mc:AlternateContent xmlns:mc="http://schemas.openxmlformats.org/markup-compatibility/2006">
      <mc:Choice Requires="x14">
        <control shapeId="88122" r:id="rId6" name="stage2">
          <controlPr autoLine="0" r:id="rId7">
            <anchor moveWithCells="1">
              <from>
                <xdr:col>0</xdr:col>
                <xdr:colOff>66675</xdr:colOff>
                <xdr:row>5</xdr:row>
                <xdr:rowOff>104775</xdr:rowOff>
              </from>
              <to>
                <xdr:col>1</xdr:col>
                <xdr:colOff>0</xdr:colOff>
                <xdr:row>6</xdr:row>
                <xdr:rowOff>76200</xdr:rowOff>
              </to>
            </anchor>
          </controlPr>
        </control>
      </mc:Choice>
      <mc:Fallback>
        <control shapeId="88122" r:id="rId6" name="stage2"/>
      </mc:Fallback>
    </mc:AlternateContent>
    <mc:AlternateContent xmlns:mc="http://schemas.openxmlformats.org/markup-compatibility/2006">
      <mc:Choice Requires="x14">
        <control shapeId="88123" r:id="rId8" name="stage_num_set">
          <controlPr autoLine="0" r:id="rId9">
            <anchor moveWithCells="1">
              <from>
                <xdr:col>0</xdr:col>
                <xdr:colOff>66675</xdr:colOff>
                <xdr:row>8</xdr:row>
                <xdr:rowOff>38100</xdr:rowOff>
              </from>
              <to>
                <xdr:col>1</xdr:col>
                <xdr:colOff>0</xdr:colOff>
                <xdr:row>9</xdr:row>
                <xdr:rowOff>114300</xdr:rowOff>
              </to>
            </anchor>
          </controlPr>
        </control>
      </mc:Choice>
      <mc:Fallback>
        <control shapeId="88123" r:id="rId8" name="stage_num_set"/>
      </mc:Fallback>
    </mc:AlternateContent>
    <mc:AlternateContent xmlns:mc="http://schemas.openxmlformats.org/markup-compatibility/2006">
      <mc:Choice Requires="x14">
        <control shapeId="88124" r:id="rId10" name="stage_num">
          <controlPr autoLine="0" r:id="rId11">
            <anchor moveWithCells="1">
              <from>
                <xdr:col>0</xdr:col>
                <xdr:colOff>66675</xdr:colOff>
                <xdr:row>9</xdr:row>
                <xdr:rowOff>114300</xdr:rowOff>
              </from>
              <to>
                <xdr:col>1</xdr:col>
                <xdr:colOff>0</xdr:colOff>
                <xdr:row>10</xdr:row>
                <xdr:rowOff>152400</xdr:rowOff>
              </to>
            </anchor>
          </controlPr>
        </control>
      </mc:Choice>
      <mc:Fallback>
        <control shapeId="88124" r:id="rId10" name="stage_num"/>
      </mc:Fallback>
    </mc:AlternateContent>
    <mc:AlternateContent xmlns:mc="http://schemas.openxmlformats.org/markup-compatibility/2006">
      <mc:Choice Requires="x14">
        <control shapeId="88125" r:id="rId12" name="stage1">
          <controlPr autoLine="0" r:id="rId13">
            <anchor moveWithCells="1">
              <from>
                <xdr:col>0</xdr:col>
                <xdr:colOff>66675</xdr:colOff>
                <xdr:row>4</xdr:row>
                <xdr:rowOff>57150</xdr:rowOff>
              </from>
              <to>
                <xdr:col>1</xdr:col>
                <xdr:colOff>0</xdr:colOff>
                <xdr:row>5</xdr:row>
                <xdr:rowOff>104775</xdr:rowOff>
              </to>
            </anchor>
          </controlPr>
        </control>
      </mc:Choice>
      <mc:Fallback>
        <control shapeId="88125" r:id="rId12" name="stage1"/>
      </mc:Fallback>
    </mc:AlternateContent>
    <mc:AlternateContent xmlns:mc="http://schemas.openxmlformats.org/markup-compatibility/2006">
      <mc:Choice Requires="x14">
        <control shapeId="88065" r:id="rId14" name="Check Box 1">
          <controlPr defaultSize="0" autoFill="0" autoLine="0" autoPict="0" macro="[0]!复选框10_Click" altText="启用">
            <anchor moveWithCells="1">
              <from>
                <xdr:col>4</xdr:col>
                <xdr:colOff>152400</xdr:colOff>
                <xdr:row>2</xdr:row>
                <xdr:rowOff>200025</xdr:rowOff>
              </from>
              <to>
                <xdr:col>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66" r:id="rId15" name="Check Box 2">
          <controlPr defaultSize="0" autoFill="0" autoLine="0" autoPict="0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67" r:id="rId16" name="Check Box 3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68" r:id="rId17" name="Check Box 4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69" r:id="rId18" name="Check Box 5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70" r:id="rId19" name="Check Box 6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71" r:id="rId20" name="Check Box 7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72" r:id="rId21" name="Check Box 8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73" r:id="rId22" name="Check Box 9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74" r:id="rId23" name="Check Box 10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75" r:id="rId24" name="Check Box 11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76" r:id="rId25" name="Check Box 12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77" r:id="rId26" name="Check Box 13">
          <controlPr defaultSize="0" autoFill="0" autoLine="0" autoPict="0" altText="启用">
            <anchor moveWithCells="1">
              <from>
                <xdr:col>4</xdr:col>
                <xdr:colOff>152400</xdr:colOff>
                <xdr:row>2</xdr:row>
                <xdr:rowOff>200025</xdr:rowOff>
              </from>
              <to>
                <xdr:col>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78" r:id="rId27" name="Check Box 14">
          <controlPr defaultSize="0" autoFill="0" autoLine="0" autoPict="0" macro="[0]!复选框10_Click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79" r:id="rId28" name="Check Box 15">
          <controlPr defaultSize="0" autoFill="0" autoLine="0" autoPict="0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80" r:id="rId29" name="Check Box 16">
          <controlPr defaultSize="0" autoFill="0" autoLine="0" autoPict="0" macro="[0]!复选框10_Click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81" r:id="rId30" name="Check Box 17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82" r:id="rId31" name="Check Box 18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83" r:id="rId32" name="Check Box 19">
          <controlPr defaultSize="0" autoFill="0" autoLine="0" autoPict="0" macro="[0]!复选框10_Click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84" r:id="rId33" name="Check Box 20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85" r:id="rId34" name="Check Box 21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86" r:id="rId35" name="Check Box 22">
          <controlPr defaultSize="0" autoFill="0" autoLine="0" autoPict="0" macro="[0]!复选框10_Click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87" r:id="rId36" name="Check Box 23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88" r:id="rId37" name="Check Box 24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89" r:id="rId38" name="Check Box 25">
          <controlPr defaultSize="0" autoFill="0" autoLine="0" autoPict="0" macro="[0]!复选框10_Click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90" r:id="rId39" name="Check Box 26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91" r:id="rId40" name="Check Box 27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92" r:id="rId41" name="Check Box 28">
          <controlPr defaultSize="0" autoFill="0" autoLine="0" autoPict="0" macro="[0]!复选框10_Click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93" r:id="rId42" name="Check Box 29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94" r:id="rId43" name="Check Box 30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95" r:id="rId44" name="Check Box 31">
          <controlPr defaultSize="0" autoFill="0" autoLine="0" autoPict="0" macro="[0]!复选框10_Click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96" r:id="rId45" name="Check Box 32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97" r:id="rId46" name="Check Box 33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98" r:id="rId47" name="Check Box 34">
          <controlPr defaultSize="0" autoFill="0" autoLine="0" autoPict="0" macro="[0]!复选框10_Click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99" r:id="rId48" name="Check Box 35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00" r:id="rId49" name="Check Box 36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01" r:id="rId50" name="Check Box 37">
          <controlPr defaultSize="0" autoFill="0" autoLine="0" autoPict="0" macro="[0]!复选框10_Click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02" r:id="rId51" name="Check Box 38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03" r:id="rId52" name="Check Box 39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04" r:id="rId53" name="Check Box 40">
          <controlPr defaultSize="0" autoFill="0" autoLine="0" autoPict="0" macro="[0]!复选框10_Click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05" r:id="rId54" name="Check Box 41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06" r:id="rId55" name="Check Box 42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07" r:id="rId56" name="Check Box 43">
          <controlPr defaultSize="0" autoFill="0" autoLine="0" autoPict="0" macro="[0]!复选框10_Click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08" r:id="rId57" name="Check Box 44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09" r:id="rId58" name="Check Box 45">
          <controlPr defaultSize="0" autoFill="0" autoLine="0" autoPict="0" altText="启用">
            <anchor moveWithCells="1">
              <from>
                <xdr:col>3</xdr:col>
                <xdr:colOff>152400</xdr:colOff>
                <xdr:row>2</xdr:row>
                <xdr:rowOff>200025</xdr:rowOff>
              </from>
              <to>
                <xdr:col>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10" r:id="rId59" name="Check Box 46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11" r:id="rId60" name="Check Box 47">
          <controlPr defaultSize="0" autoFill="0" autoLine="0" autoPict="0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12" r:id="rId61" name="Check Box 48">
          <controlPr defaultSize="0" autoFill="0" autoLine="0" autoPict="0" macro="[0]!复选框10_Click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13" r:id="rId62" name="Check Box 49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14" r:id="rId63" name="Check Box 50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15" r:id="rId64" name="Check Box 51">
          <controlPr defaultSize="0" autoFill="0" autoLine="0" autoPict="0" macro="[0]!复选框10_Click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16" r:id="rId65" name="Check Box 52">
          <controlPr defaultSize="0" autoFill="0" autoLine="0" autoPict="0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17" r:id="rId66" name="Check Box 53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18" r:id="rId67" name="Check Box 54">
          <controlPr defaultSize="0" autoFill="0" autoLine="0" autoPict="0" macro="[0]!复选框10_Click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19" r:id="rId68" name="Check Box 55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20" r:id="rId69" name="Check Box 56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Y41"/>
  <sheetViews>
    <sheetView showGridLines="0" zoomScale="106" zoomScaleNormal="106" workbookViewId="0">
      <pane xSplit="3" topLeftCell="D1" activePane="topRight" state="frozen"/>
      <selection pane="topRight" activeCell="D7" sqref="D7"/>
    </sheetView>
  </sheetViews>
  <sheetFormatPr defaultRowHeight="16.5" x14ac:dyDescent="0.15"/>
  <cols>
    <col min="1" max="1" width="9" style="2"/>
    <col min="2" max="2" width="16.75" style="1" customWidth="1"/>
    <col min="3" max="3" width="6" style="2" bestFit="1" customWidth="1"/>
    <col min="4" max="18" width="12.625" style="2" customWidth="1"/>
    <col min="19" max="16384" width="9" style="2"/>
  </cols>
  <sheetData>
    <row r="1" spans="1:25" ht="45.75" customHeight="1" x14ac:dyDescent="0.15">
      <c r="A1" s="6"/>
      <c r="B1" s="63" t="s">
        <v>61</v>
      </c>
      <c r="C1" s="63"/>
      <c r="D1" s="6"/>
      <c r="E1"/>
      <c r="F1"/>
      <c r="G1"/>
      <c r="H1"/>
      <c r="I1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</row>
    <row r="2" spans="1:25" ht="16.5" customHeight="1" x14ac:dyDescent="0.15">
      <c r="A2"/>
      <c r="B2" s="63"/>
      <c r="C2" s="63"/>
      <c r="D2" s="8">
        <f>数据源!J5</f>
        <v>0</v>
      </c>
      <c r="E2" s="6"/>
      <c r="F2" s="6"/>
      <c r="G2" s="6"/>
      <c r="H2"/>
      <c r="I2"/>
      <c r="J2"/>
      <c r="K2"/>
      <c r="L2" s="6"/>
      <c r="M2" s="6"/>
      <c r="N2" s="6"/>
      <c r="O2" s="6"/>
      <c r="P2" s="6"/>
      <c r="Q2" s="6"/>
      <c r="R2" s="6"/>
      <c r="S2" s="6"/>
      <c r="T2" s="6"/>
      <c r="U2" s="6"/>
      <c r="V2" s="6"/>
    </row>
    <row r="3" spans="1:25" ht="16.5" customHeight="1" x14ac:dyDescent="0.15">
      <c r="A3"/>
      <c r="B3" s="64"/>
      <c r="C3" s="64"/>
      <c r="D3" s="25">
        <v>1</v>
      </c>
      <c r="E3" s="25">
        <v>2</v>
      </c>
      <c r="F3" s="25">
        <v>3</v>
      </c>
      <c r="G3" s="25">
        <v>4</v>
      </c>
      <c r="H3" s="25">
        <v>5</v>
      </c>
      <c r="I3" s="25">
        <v>6</v>
      </c>
      <c r="J3" s="25">
        <v>7</v>
      </c>
      <c r="K3" s="25">
        <v>8</v>
      </c>
      <c r="L3" s="25">
        <v>9</v>
      </c>
      <c r="M3" s="25">
        <v>10</v>
      </c>
      <c r="N3" s="25">
        <v>11</v>
      </c>
      <c r="O3" s="25">
        <v>12</v>
      </c>
      <c r="P3" s="25">
        <v>13</v>
      </c>
      <c r="Q3" s="25">
        <v>14</v>
      </c>
      <c r="R3" s="25">
        <v>15</v>
      </c>
      <c r="S3" s="6"/>
      <c r="T3" s="6"/>
      <c r="U3" s="6"/>
      <c r="V3"/>
      <c r="W3"/>
      <c r="X3"/>
      <c r="Y3"/>
    </row>
    <row r="4" spans="1:25" x14ac:dyDescent="0.15">
      <c r="A4"/>
      <c r="B4" s="25"/>
      <c r="C4" s="28" t="s">
        <v>38</v>
      </c>
      <c r="D4" s="23" t="b">
        <v>1</v>
      </c>
      <c r="E4" s="24" t="b">
        <v>1</v>
      </c>
      <c r="F4" s="24" t="b">
        <v>1</v>
      </c>
      <c r="G4" s="24" t="b">
        <v>1</v>
      </c>
      <c r="H4" s="24" t="b">
        <v>0</v>
      </c>
      <c r="I4" s="24" t="b">
        <v>0</v>
      </c>
      <c r="J4" s="24" t="b">
        <v>0</v>
      </c>
      <c r="K4" s="24" t="b">
        <v>0</v>
      </c>
      <c r="L4" s="24" t="b">
        <v>0</v>
      </c>
      <c r="M4" s="24" t="b">
        <v>0</v>
      </c>
      <c r="N4" s="24" t="b">
        <v>0</v>
      </c>
      <c r="O4" s="24" t="b">
        <v>0</v>
      </c>
      <c r="P4" s="24" t="b">
        <v>0</v>
      </c>
      <c r="Q4" s="24" t="b">
        <v>0</v>
      </c>
      <c r="R4" s="24" t="b">
        <v>0</v>
      </c>
      <c r="S4"/>
      <c r="T4"/>
      <c r="U4"/>
      <c r="V4"/>
      <c r="W4"/>
      <c r="X4"/>
      <c r="Y4"/>
    </row>
    <row r="5" spans="1:25" s="4" customFormat="1" x14ac:dyDescent="0.15">
      <c r="A5"/>
      <c r="B5" s="25" t="s">
        <v>24</v>
      </c>
      <c r="C5" s="26"/>
      <c r="D5" s="21" t="s">
        <v>83</v>
      </c>
      <c r="E5" s="21" t="s">
        <v>79</v>
      </c>
      <c r="F5" s="21" t="s">
        <v>76</v>
      </c>
      <c r="G5" s="21" t="s">
        <v>77</v>
      </c>
      <c r="H5" s="21" t="s">
        <v>77</v>
      </c>
      <c r="I5" s="21" t="s">
        <v>77</v>
      </c>
      <c r="J5" s="21" t="s">
        <v>52</v>
      </c>
      <c r="K5" s="21" t="s">
        <v>77</v>
      </c>
      <c r="L5" s="21" t="s">
        <v>29</v>
      </c>
      <c r="M5" s="21" t="s">
        <v>30</v>
      </c>
      <c r="N5" s="21" t="s">
        <v>30</v>
      </c>
      <c r="O5" s="21" t="s">
        <v>63</v>
      </c>
      <c r="P5" s="21" t="s">
        <v>31</v>
      </c>
      <c r="Q5" s="21" t="s">
        <v>29</v>
      </c>
      <c r="R5" s="21" t="s">
        <v>29</v>
      </c>
      <c r="S5"/>
      <c r="T5"/>
      <c r="U5"/>
      <c r="V5"/>
      <c r="W5"/>
      <c r="X5"/>
      <c r="Y5"/>
    </row>
    <row r="6" spans="1:25" s="4" customFormat="1" x14ac:dyDescent="0.15">
      <c r="A6"/>
      <c r="B6" s="27" t="s">
        <v>0</v>
      </c>
      <c r="C6" s="26"/>
      <c r="D6" s="43" t="s">
        <v>93</v>
      </c>
      <c r="E6" s="43" t="s">
        <v>87</v>
      </c>
      <c r="F6" s="43" t="s">
        <v>75</v>
      </c>
      <c r="G6" s="43" t="s">
        <v>119</v>
      </c>
      <c r="H6" s="43" t="s">
        <v>119</v>
      </c>
      <c r="I6" s="43" t="s">
        <v>78</v>
      </c>
      <c r="J6" s="43" t="s">
        <v>70</v>
      </c>
      <c r="K6" s="43" t="s">
        <v>78</v>
      </c>
      <c r="L6" s="43" t="s">
        <v>65</v>
      </c>
      <c r="M6" s="43" t="s">
        <v>69</v>
      </c>
      <c r="N6" s="43" t="s">
        <v>66</v>
      </c>
      <c r="O6" s="43" t="s">
        <v>67</v>
      </c>
      <c r="P6" s="43" t="s">
        <v>53</v>
      </c>
      <c r="Q6" s="43" t="s">
        <v>59</v>
      </c>
      <c r="R6" s="43" t="s">
        <v>56</v>
      </c>
      <c r="S6"/>
      <c r="T6"/>
      <c r="U6"/>
      <c r="V6"/>
      <c r="W6"/>
      <c r="X6"/>
      <c r="Y6"/>
    </row>
    <row r="7" spans="1:25" s="4" customFormat="1" ht="17.25" thickBot="1" x14ac:dyDescent="0.2">
      <c r="A7" s="41"/>
      <c r="B7" s="27" t="s">
        <v>57</v>
      </c>
      <c r="C7" s="28" t="s">
        <v>25</v>
      </c>
      <c r="D7" s="42" t="s">
        <v>85</v>
      </c>
      <c r="E7" s="42" t="s">
        <v>96</v>
      </c>
      <c r="F7" s="42" t="s">
        <v>117</v>
      </c>
      <c r="G7" s="42" t="s">
        <v>91</v>
      </c>
      <c r="H7" s="42" t="s">
        <v>91</v>
      </c>
      <c r="I7" s="42" t="s">
        <v>92</v>
      </c>
      <c r="J7" s="42" t="s">
        <v>71</v>
      </c>
      <c r="K7" s="42" t="s">
        <v>92</v>
      </c>
      <c r="L7" s="42" t="s">
        <v>54</v>
      </c>
      <c r="M7" s="42" t="s">
        <v>64</v>
      </c>
      <c r="N7" s="42" t="s">
        <v>64</v>
      </c>
      <c r="O7" s="42" t="s">
        <v>62</v>
      </c>
      <c r="P7" s="42" t="s">
        <v>62</v>
      </c>
      <c r="Q7" s="42" t="s">
        <v>54</v>
      </c>
      <c r="R7" s="42" t="s">
        <v>54</v>
      </c>
      <c r="S7" s="41"/>
      <c r="T7" s="41"/>
      <c r="U7" s="41"/>
      <c r="V7" s="41"/>
      <c r="W7" s="41"/>
      <c r="X7" s="41"/>
      <c r="Y7" s="41"/>
    </row>
    <row r="8" spans="1:25" ht="17.25" thickTop="1" x14ac:dyDescent="0.15">
      <c r="A8"/>
      <c r="B8" s="25" t="s">
        <v>58</v>
      </c>
      <c r="C8" s="26" t="s">
        <v>1</v>
      </c>
      <c r="D8" s="15">
        <f>LOOKUP(1,0/((数据源!$A$2:$A$160=D5)*(数据源!$B$2:$B$160=D6)*(数据源!$C$2:$C$160=D7)),数据源!$D$2:$D$160)</f>
        <v>-0.38</v>
      </c>
      <c r="E8" s="15">
        <f>LOOKUP(1,0/((数据源!$A$2:$A$160=E5)*(数据源!$B$2:$B$160=E6)*(数据源!$C$2:$C$160=E7)),数据源!$D$2:$D$160)</f>
        <v>-2</v>
      </c>
      <c r="F8" s="15">
        <f>LOOKUP(1,0/((数据源!$A$2:$A$160=F5)*(数据源!$B$2:$B$160=F6)*(数据源!$C$2:$C$160=F7)),数据源!$D$2:$D$160)</f>
        <v>-0.5</v>
      </c>
      <c r="G8" s="15">
        <f>LOOKUP(1,0/((数据源!$A$2:$A$160=G5)*(数据源!$B$2:$B$160=G6)*(数据源!$C$2:$C$160=G7)),数据源!$D$2:$D$160)</f>
        <v>56</v>
      </c>
      <c r="H8" s="15">
        <f>LOOKUP(1,0/((数据源!$A$2:$A$160=H5)*(数据源!$B$2:$B$160=H6)*(数据源!$C$2:$C$160=H7)),数据源!$D$2:$D$160)</f>
        <v>56</v>
      </c>
      <c r="I8" s="15">
        <f>LOOKUP(1,0/((数据源!$A$2:$A$160=I5)*(数据源!$B$2:$B$160=I6)*(数据源!$C$2:$C$160=I7)),数据源!$D$2:$D$160)</f>
        <v>56</v>
      </c>
      <c r="J8" s="15">
        <f>LOOKUP(1,0/((数据源!$A$2:$A$160=J5)*(数据源!$B$2:$B$160=J6)*(数据源!$C$2:$C$160=J7)),数据源!$D$2:$D$160)</f>
        <v>15</v>
      </c>
      <c r="K8" s="15">
        <f>LOOKUP(1,0/((数据源!$A$2:$A$160=K5)*(数据源!$B$2:$B$160=K6)*(数据源!$C$2:$C$160=K7)),数据源!$D$2:$D$160)</f>
        <v>56</v>
      </c>
      <c r="L8" s="15">
        <f>LOOKUP(1,0/((数据源!$A$2:$A$160=L5)*(数据源!$B$2:$B$160=L6)*(数据源!$C$2:$C$160=L7)),数据源!$D$2:$D$160)</f>
        <v>-2</v>
      </c>
      <c r="M8" s="15" t="e">
        <f>LOOKUP(1,0/((数据源!$A$2:$A$160=M5)*(数据源!$B$2:$B$160=M6)*(数据源!$C$2:$C$160=M7)),数据源!$D$2:$D$160)</f>
        <v>#N/A</v>
      </c>
      <c r="N8" s="15" t="e">
        <f>LOOKUP(1,0/((数据源!$A$2:$A$160=N5)*(数据源!$B$2:$B$160=N6)*(数据源!$C$2:$C$160=N7)),数据源!$D$2:$D$160)</f>
        <v>#N/A</v>
      </c>
      <c r="O8" s="15" t="e">
        <f>LOOKUP(1,0/((数据源!$A$2:$A$160=O5)*(数据源!$B$2:$B$160=O6)*(数据源!$C$2:$C$160=O7)),数据源!$D$2:$D$160)</f>
        <v>#N/A</v>
      </c>
      <c r="P8" s="15" t="e">
        <f>LOOKUP(1,0/((数据源!$A$2:$A$160=P5)*(数据源!$B$2:$B$160=P6)*(数据源!$C$2:$C$160=P7)),数据源!$D$2:$D$160)</f>
        <v>#N/A</v>
      </c>
      <c r="Q8" s="15">
        <f>LOOKUP(1,0/((数据源!$A$2:$A$160=Q5)*(数据源!$B$2:$B$160=Q6)*(数据源!$C$2:$C$160=Q7)),数据源!$D$2:$D$160)</f>
        <v>-5</v>
      </c>
      <c r="R8" s="15">
        <f>LOOKUP(1,0/((数据源!$A$2:$A$160=R5)*(数据源!$B$2:$B$160=R6)*(数据源!$C$2:$C$160=R7)),数据源!$D$2:$D$160)</f>
        <v>-8</v>
      </c>
      <c r="S8"/>
      <c r="T8"/>
      <c r="U8"/>
      <c r="V8"/>
      <c r="W8"/>
      <c r="X8"/>
      <c r="Y8"/>
    </row>
    <row r="9" spans="1:25" x14ac:dyDescent="0.15">
      <c r="A9"/>
      <c r="B9" s="25" t="s">
        <v>2</v>
      </c>
      <c r="C9" s="26" t="s">
        <v>1</v>
      </c>
      <c r="D9" s="12">
        <f>LOOKUP(1,0/((数据源!$A$2:$A$160=D5)*(数据源!$B$2:$B$160=D6)*(数据源!$C$2:$C$160=D7)),数据源!$E$2:$E$160)</f>
        <v>0.38</v>
      </c>
      <c r="E9" s="12">
        <f>LOOKUP(1,0/((数据源!$A$2:$A$160=E5)*(数据源!$B$2:$B$160=E6)*(数据源!$C$2:$C$160=E7)),数据源!$E$2:$E$160)</f>
        <v>2</v>
      </c>
      <c r="F9" s="12">
        <f>LOOKUP(1,0/((数据源!$A$2:$A$160=F5)*(数据源!$B$2:$B$160=F6)*(数据源!$C$2:$C$160=F7)),数据源!$E$2:$E$160)</f>
        <v>0.5</v>
      </c>
      <c r="G9" s="12">
        <f>LOOKUP(1,0/((数据源!$A$2:$A$160=G5)*(数据源!$B$2:$B$160=G6)*(数据源!$C$2:$C$160=G7)),数据源!$E$2:$E$160)</f>
        <v>2.2999999999999998</v>
      </c>
      <c r="H9" s="12">
        <f>LOOKUP(1,0/((数据源!$A$2:$A$160=H5)*(数据源!$B$2:$B$160=H6)*(数据源!$C$2:$C$160=H7)),数据源!$E$2:$E$160)</f>
        <v>2.2999999999999998</v>
      </c>
      <c r="I9" s="12">
        <f>LOOKUP(1,0/((数据源!$A$2:$A$160=I5)*(数据源!$B$2:$B$160=I6)*(数据源!$C$2:$C$160=I7)),数据源!$E$2:$E$160)</f>
        <v>2.7</v>
      </c>
      <c r="J9" s="12">
        <f>LOOKUP(1,0/((数据源!$A$2:$A$160=J5)*(数据源!$B$2:$B$160=J6)*(数据源!$C$2:$C$160=J7)),数据源!$E$2:$E$160)</f>
        <v>0.7</v>
      </c>
      <c r="K9" s="12">
        <f>LOOKUP(1,0/((数据源!$A$2:$A$160=K5)*(数据源!$B$2:$B$160=K6)*(数据源!$C$2:$C$160=K7)),数据源!$E$2:$E$160)</f>
        <v>2.7</v>
      </c>
      <c r="L9" s="12">
        <f>LOOKUP(1,0/((数据源!$A$2:$A$160=L5)*(数据源!$B$2:$B$160=L6)*(数据源!$C$2:$C$160=L7)),数据源!$E$2:$E$160)</f>
        <v>2</v>
      </c>
      <c r="M9" s="12" t="e">
        <f>LOOKUP(1,0/((数据源!$A$2:$A$160=M5)*(数据源!$B$2:$B$160=M6)*(数据源!$C$2:$C$160=M7)),数据源!$E$2:$E$160)</f>
        <v>#N/A</v>
      </c>
      <c r="N9" s="12" t="e">
        <f>LOOKUP(1,0/((数据源!$A$2:$A$160=N5)*(数据源!$B$2:$B$160=N6)*(数据源!$C$2:$C$160=N7)),数据源!$E$2:$E$160)</f>
        <v>#N/A</v>
      </c>
      <c r="O9" s="12" t="e">
        <f>LOOKUP(1,0/((数据源!$A$2:$A$160=O5)*(数据源!$B$2:$B$160=O6)*(数据源!$C$2:$C$160=O7)),数据源!$E$2:$E$160)</f>
        <v>#N/A</v>
      </c>
      <c r="P9" s="12" t="e">
        <f>LOOKUP(1,0/((数据源!$A$2:$A$160=P5)*(数据源!$B$2:$B$160=P6)*(数据源!$C$2:$C$160=P7)),数据源!$E$2:$E$160)</f>
        <v>#N/A</v>
      </c>
      <c r="Q9" s="12">
        <f>LOOKUP(1,0/((数据源!$A$2:$A$160=Q5)*(数据源!$B$2:$B$160=Q6)*(数据源!$C$2:$C$160=Q7)),数据源!$E$2:$E$160)</f>
        <v>5</v>
      </c>
      <c r="R9" s="12">
        <f>LOOKUP(1,0/((数据源!$A$2:$A$160=R5)*(数据源!$B$2:$B$160=R6)*(数据源!$C$2:$C$160=R7)),数据源!$E$2:$E$160)</f>
        <v>8</v>
      </c>
      <c r="S9"/>
      <c r="T9"/>
      <c r="U9"/>
      <c r="V9"/>
      <c r="W9"/>
      <c r="X9"/>
      <c r="Y9"/>
    </row>
    <row r="10" spans="1:25" x14ac:dyDescent="0.15">
      <c r="A10"/>
      <c r="B10" s="25" t="s">
        <v>55</v>
      </c>
      <c r="C10" s="26" t="s">
        <v>3</v>
      </c>
      <c r="D10" s="12">
        <f>LOOKUP(1,0/((数据源!$A$2:$A$160=D5)*(数据源!$B$2:$B$160=D6)*(数据源!$C$2:$C$160=D7)),数据源!$F$2:$F$160)</f>
        <v>60</v>
      </c>
      <c r="E10" s="12">
        <f>LOOKUP(1,0/((数据源!$A$2:$A$160=E5)*(数据源!$B$2:$B$160=E6)*(数据源!$C$2:$C$160=E7)),数据源!$F$2:$F$160)</f>
        <v>60</v>
      </c>
      <c r="F10" s="12">
        <f>LOOKUP(1,0/((数据源!$A$2:$A$160=F5)*(数据源!$B$2:$B$160=F6)*(数据源!$C$2:$C$160=F7)),数据源!$F$2:$F$160)</f>
        <v>60</v>
      </c>
      <c r="G10" s="12">
        <f>LOOKUP(1,0/((数据源!$A$2:$A$160=G5)*(数据源!$B$2:$B$160=G6)*(数据源!$C$2:$C$160=G7)),数据源!$F$2:$F$160)</f>
        <v>60</v>
      </c>
      <c r="H10" s="12">
        <f>LOOKUP(1,0/((数据源!$A$2:$A$160=H5)*(数据源!$B$2:$B$160=H6)*(数据源!$C$2:$C$160=H7)),数据源!$F$2:$F$160)</f>
        <v>60</v>
      </c>
      <c r="I10" s="12">
        <f>LOOKUP(1,0/((数据源!$A$2:$A$160=I5)*(数据源!$B$2:$B$160=I6)*(数据源!$C$2:$C$160=I7)),数据源!$F$2:$F$160)</f>
        <v>60</v>
      </c>
      <c r="J10" s="12">
        <f>LOOKUP(1,0/((数据源!$A$2:$A$160=J5)*(数据源!$B$2:$B$160=J6)*(数据源!$C$2:$C$160=J7)),数据源!$F$2:$F$160)</f>
        <v>15</v>
      </c>
      <c r="K10" s="12">
        <f>LOOKUP(1,0/((数据源!$A$2:$A$160=K5)*(数据源!$B$2:$B$160=K6)*(数据源!$C$2:$C$160=K7)),数据源!$F$2:$F$160)</f>
        <v>60</v>
      </c>
      <c r="L10" s="12">
        <f>LOOKUP(1,0/((数据源!$A$2:$A$160=L5)*(数据源!$B$2:$B$160=L6)*(数据源!$C$2:$C$160=L7)),数据源!$F$2:$F$160)</f>
        <v>1000</v>
      </c>
      <c r="M10" s="12" t="e">
        <f>LOOKUP(1,0/((数据源!$A$2:$A$160=M5)*(数据源!$B$2:$B$160=M6)*(数据源!$C$2:$C$160=M7)),数据源!$F$2:$F$160)</f>
        <v>#N/A</v>
      </c>
      <c r="N10" s="12" t="e">
        <f>LOOKUP(1,0/((数据源!$A$2:$A$160=N5)*(数据源!$B$2:$B$160=N6)*(数据源!$C$2:$C$160=N7)),数据源!$F$2:$F$160)</f>
        <v>#N/A</v>
      </c>
      <c r="O10" s="12" t="e">
        <f>LOOKUP(1,0/((数据源!$A$2:$A$160=O5)*(数据源!$B$2:$B$160=O6)*(数据源!$C$2:$C$160=O7)),数据源!$F$2:$F$160)</f>
        <v>#N/A</v>
      </c>
      <c r="P10" s="12" t="e">
        <f>LOOKUP(1,0/((数据源!$A$2:$A$160=P5)*(数据源!$B$2:$B$160=P6)*(数据源!$C$2:$C$160=P7)),数据源!$F$2:$F$160)</f>
        <v>#N/A</v>
      </c>
      <c r="Q10" s="12">
        <f>LOOKUP(1,0/((数据源!$A$2:$A$160=Q5)*(数据源!$B$2:$B$160=Q6)*(数据源!$C$2:$C$160=Q7)),数据源!$F$2:$F$160)</f>
        <v>1000</v>
      </c>
      <c r="R10" s="12">
        <f>LOOKUP(1,0/((数据源!$A$2:$A$160=R5)*(数据源!$B$2:$B$160=R6)*(数据源!$C$2:$C$160=R7)),数据源!$F$2:$F$160)</f>
        <v>1000</v>
      </c>
      <c r="S10"/>
      <c r="T10"/>
      <c r="U10"/>
      <c r="V10"/>
      <c r="W10"/>
      <c r="X10"/>
      <c r="Y10"/>
    </row>
    <row r="11" spans="1:25" ht="17.25" thickBot="1" x14ac:dyDescent="0.2">
      <c r="A11" s="6"/>
      <c r="B11" s="29" t="s">
        <v>4</v>
      </c>
      <c r="C11" s="30" t="s">
        <v>3</v>
      </c>
      <c r="D11" s="13">
        <f>LOOKUP(1,0/((数据源!$A$2:$A$160=D5)*(数据源!$B$2:$B$160=D6)*(数据源!$C$2:$C$160=D7)),数据源!$G$2:$G$160)</f>
        <v>60</v>
      </c>
      <c r="E11" s="13">
        <f>LOOKUP(1,0/((数据源!$A$2:$A$160=E5)*(数据源!$B$2:$B$160=E6)*(数据源!$C$2:$C$160=E7)),数据源!$G$2:$G$160)</f>
        <v>60</v>
      </c>
      <c r="F11" s="13">
        <f>LOOKUP(1,0/((数据源!$A$2:$A$160=F5)*(数据源!$B$2:$B$160=F6)*(数据源!$C$2:$C$160=F7)),数据源!$G$2:$G$160)</f>
        <v>60</v>
      </c>
      <c r="G11" s="13">
        <f>LOOKUP(1,0/((数据源!$A$2:$A$160=G5)*(数据源!$B$2:$B$160=G6)*(数据源!$C$2:$C$160=G7)),数据源!$G$2:$G$160)</f>
        <v>60</v>
      </c>
      <c r="H11" s="13">
        <f>LOOKUP(1,0/((数据源!$A$2:$A$160=H5)*(数据源!$B$2:$B$160=H6)*(数据源!$C$2:$C$160=H7)),数据源!$G$2:$G$160)</f>
        <v>60</v>
      </c>
      <c r="I11" s="13">
        <f>LOOKUP(1,0/((数据源!$A$2:$A$160=I5)*(数据源!$B$2:$B$160=I6)*(数据源!$C$2:$C$160=I7)),数据源!$G$2:$G$160)</f>
        <v>60</v>
      </c>
      <c r="J11" s="13">
        <f>LOOKUP(1,0/((数据源!$A$2:$A$160=J5)*(数据源!$B$2:$B$160=J6)*(数据源!$C$2:$C$160=J7)),数据源!$G$2:$G$160)</f>
        <v>16</v>
      </c>
      <c r="K11" s="13">
        <f>LOOKUP(1,0/((数据源!$A$2:$A$160=K5)*(数据源!$B$2:$B$160=K6)*(数据源!$C$2:$C$160=K7)),数据源!$G$2:$G$160)</f>
        <v>60</v>
      </c>
      <c r="L11" s="13">
        <f>LOOKUP(1,0/((数据源!$A$2:$A$160=L5)*(数据源!$B$2:$B$160=L6)*(数据源!$C$2:$C$160=L7)),数据源!$G$2:$G$160)</f>
        <v>1000</v>
      </c>
      <c r="M11" s="13" t="e">
        <f>LOOKUP(1,0/((数据源!$A$2:$A$160=M5)*(数据源!$B$2:$B$160=M6)*(数据源!$C$2:$C$160=M7)),数据源!$G$2:$G$160)</f>
        <v>#N/A</v>
      </c>
      <c r="N11" s="13" t="e">
        <f>LOOKUP(1,0/((数据源!$A$2:$A$160=N5)*(数据源!$B$2:$B$160=N6)*(数据源!$C$2:$C$160=N7)),数据源!$G$2:$G$160)</f>
        <v>#N/A</v>
      </c>
      <c r="O11" s="13" t="e">
        <f>LOOKUP(1,0/((数据源!$A$2:$A$160=O5)*(数据源!$B$2:$B$160=O6)*(数据源!$C$2:$C$160=O7)),数据源!$G$2:$G$160)</f>
        <v>#N/A</v>
      </c>
      <c r="P11" s="13" t="e">
        <f>LOOKUP(1,0/((数据源!$A$2:$A$160=P5)*(数据源!$B$2:$B$160=P6)*(数据源!$C$2:$C$160=P7)),数据源!$G$2:$G$160)</f>
        <v>#N/A</v>
      </c>
      <c r="Q11" s="13">
        <f>LOOKUP(1,0/((数据源!$A$2:$A$160=Q5)*(数据源!$B$2:$B$160=Q6)*(数据源!$C$2:$C$160=Q7)),数据源!$G$2:$G$160)</f>
        <v>1000</v>
      </c>
      <c r="R11" s="13">
        <f>LOOKUP(1,0/((数据源!$A$2:$A$160=R5)*(数据源!$B$2:$B$160=R6)*(数据源!$C$2:$C$160=R7)),数据源!$G$2:$G$160)</f>
        <v>1000</v>
      </c>
      <c r="S11"/>
      <c r="T11"/>
      <c r="U11"/>
      <c r="V11"/>
      <c r="W11"/>
      <c r="X11"/>
      <c r="Y11"/>
    </row>
    <row r="12" spans="1:25" ht="17.25" thickTop="1" x14ac:dyDescent="0.15">
      <c r="A12" s="48">
        <f>M23</f>
        <v>-100.13457471969123</v>
      </c>
      <c r="B12" s="31" t="s">
        <v>5</v>
      </c>
      <c r="C12" s="32" t="s">
        <v>1</v>
      </c>
      <c r="D12" s="14">
        <f>IF(AND(D4&lt;&gt;FALSE,D8&lt;&gt;""),D8,"")</f>
        <v>-0.38</v>
      </c>
      <c r="E12" s="11">
        <f>IF(OR($D$4:E$4)=FALSE,"",IF(E$4=FALSE,D12,IF(OR($D$4:D4)=FALSE,E8,E8+D12)))</f>
        <v>-2.38</v>
      </c>
      <c r="F12" s="11">
        <f>IF(OR($D$4:F$4)=FALSE,"",IF(F$4=FALSE,E12,IF(OR($D$4:E4)=FALSE,F8,F8+E12)))</f>
        <v>-2.88</v>
      </c>
      <c r="G12" s="11">
        <f>IF(OR($D$4:G$4)=FALSE,"",IF(G$4=FALSE,F12,IF(OR($D$4:F4)=FALSE,G8,G8+F12)))</f>
        <v>53.12</v>
      </c>
      <c r="H12" s="11">
        <f>IF(OR($D$4:H$4)=FALSE,"",IF(H$4=FALSE,G12,IF(OR($D$4:G4)=FALSE,H8,H8+G12)))</f>
        <v>53.12</v>
      </c>
      <c r="I12" s="11">
        <f>IF(OR($D$4:I$4)=FALSE,"",IF(I$4=FALSE,H12,IF(OR($D$4:H4)=FALSE,I8,I8+H12)))</f>
        <v>53.12</v>
      </c>
      <c r="J12" s="11">
        <f>IF(OR($D$4:J$4)=FALSE,"",IF(J$4=FALSE,I12,IF(OR($D$4:I4)=FALSE,J8,J8+I12)))</f>
        <v>53.12</v>
      </c>
      <c r="K12" s="11">
        <f>IF(OR($D$4:K$4)=FALSE,"",IF(K$4=FALSE,J12,IF(OR($D$4:J4)=FALSE,K8,K8+J12)))</f>
        <v>53.12</v>
      </c>
      <c r="L12" s="11">
        <f>IF(OR($D$4:L$4)=FALSE,"",IF(L$4=FALSE,K12,IF(OR($D$4:K4)=FALSE,L8,L8+K12)))</f>
        <v>53.12</v>
      </c>
      <c r="M12" s="11">
        <f>IF(OR($D$4:M$4)=FALSE,"",IF(M$4=FALSE,L12,IF(OR($D$4:L4)=FALSE,M8,M8+L12)))</f>
        <v>53.12</v>
      </c>
      <c r="N12" s="11">
        <f>IF(OR($D$4:N$4)=FALSE,"",IF(N$4=FALSE,M12,IF(OR($D$4:M4)=FALSE,N8,N8+M12)))</f>
        <v>53.12</v>
      </c>
      <c r="O12" s="11">
        <f>IF(OR($D$4:O$4)=FALSE,"",IF(O$4=FALSE,N12,IF(OR($D$4:N4)=FALSE,O8,O8+N12)))</f>
        <v>53.12</v>
      </c>
      <c r="P12" s="11">
        <f>IF(OR($D$4:P$4)=FALSE,"",IF(P$4=FALSE,O12,IF(OR($D$4:O4)=FALSE,P8,P8+O12)))</f>
        <v>53.12</v>
      </c>
      <c r="Q12" s="11">
        <f>IF(OR($D$4:Q$4)=FALSE,"",IF(Q$4=FALSE,P12,IF(OR($D$4:P4)=FALSE,Q8,Q8+P12)))</f>
        <v>53.12</v>
      </c>
      <c r="R12" s="11">
        <f>IF(OR($D$4:R$4)=FALSE,"",IF(R$4=FALSE,Q12,IF(OR($D$4:Q4)=FALSE,R8,R8+Q12)))</f>
        <v>53.12</v>
      </c>
      <c r="S12"/>
      <c r="T12"/>
      <c r="U12"/>
      <c r="V12"/>
      <c r="W12"/>
      <c r="X12"/>
      <c r="Y12"/>
    </row>
    <row r="13" spans="1:25" x14ac:dyDescent="0.15">
      <c r="A13" s="6"/>
      <c r="B13" s="33" t="s">
        <v>6</v>
      </c>
      <c r="C13" s="34" t="s">
        <v>1</v>
      </c>
      <c r="D13" s="12">
        <f>IF(AND(D4&lt;&gt;FALSE,D9&lt;&gt;""),D9,"")</f>
        <v>0.38</v>
      </c>
      <c r="E13" s="10">
        <f>IF(OR($D$4:E$4)=FALSE,"",IF(E$4=FALSE,D13,IF(OR($D$4:D$4)=FALSE,E9,10*LOG(10^(D13/10)+(10^(E9/10)-1)/10^(D12/10)))))</f>
        <v>2.3800000000000003</v>
      </c>
      <c r="F13" s="10">
        <f>IF(OR($D$4:F$4)=FALSE,"",IF(F$4=FALSE,E13,IF(OR($D$4:E$4)=FALSE,F9,10*LOG(10^(E13/10)+(10^(F9/10)-1)/10^(E12/10)))))</f>
        <v>2.8800000000000017</v>
      </c>
      <c r="G13" s="10">
        <f>IF(OR($D$4:G$4)=FALSE,"",IF(G$4=FALSE,F13,IF(OR($D$4:F$4)=FALSE,G9,10*LOG(10^(F13/10)+(10^(G9/10)-1)/10^(F12/10)))))</f>
        <v>5.1800000000000015</v>
      </c>
      <c r="H13" s="10">
        <f>IF(OR($D$4:H$4)=FALSE,"",IF(H$4=FALSE,G13,IF(OR($D$4:G$4)=FALSE,H9,10*LOG(10^(G13/10)+(10^(H9/10)-1)/10^(G12/10)))))</f>
        <v>5.1800000000000015</v>
      </c>
      <c r="I13" s="10">
        <f>IF(OR($D$4:I$4)=FALSE,"",IF(I$4=FALSE,H13,IF(OR($D$4:H$4)=FALSE,I9,10*LOG(10^(H13/10)+(10^(I9/10)-1)/10^(H12/10)))))</f>
        <v>5.1800000000000015</v>
      </c>
      <c r="J13" s="10">
        <f>IF(OR($D$4:J$4)=FALSE,"",IF(J$4=FALSE,I13,IF(OR($D$4:I$4)=FALSE,J9,10*LOG(10^(I13/10)+(10^(J9/10)-1)/10^(I12/10)))))</f>
        <v>5.1800000000000015</v>
      </c>
      <c r="K13" s="10">
        <f>IF(OR($D$4:K$4)=FALSE,"",IF(K$4=FALSE,J13,IF(OR($D$4:J$4)=FALSE,K9,10*LOG(10^(J13/10)+(10^(K9/10)-1)/10^(J12/10)))))</f>
        <v>5.1800000000000015</v>
      </c>
      <c r="L13" s="10">
        <f>IF(OR($D$4:L$4)=FALSE,"",IF(L$4=FALSE,K13,IF(OR($D$4:K$4)=FALSE,L9,10*LOG(10^(K13/10)+(10^(L9/10)-1)/10^(K12/10)))))</f>
        <v>5.1800000000000015</v>
      </c>
      <c r="M13" s="10">
        <f>IF(OR($D$4:M$4)=FALSE,"",IF(M$4=FALSE,L13,IF(OR($D$4:L$4)=FALSE,M9,10*LOG(10^(L13/10)+(10^(M9/10)-1)/10^(L12/10)))))</f>
        <v>5.1800000000000015</v>
      </c>
      <c r="N13" s="10">
        <f>IF(OR($D$4:N$4)=FALSE,"",IF(N$4=FALSE,M13,IF(OR($D$4:M$4)=FALSE,N9,10*LOG(10^(M13/10)+(10^(N9/10)-1)/10^(M12/10)))))</f>
        <v>5.1800000000000015</v>
      </c>
      <c r="O13" s="10">
        <f>IF(OR($D$4:O$4)=FALSE,"",IF(O$4=FALSE,N13,IF(OR($D$4:N$4)=FALSE,O9,10*LOG(10^(N13/10)+(10^(O9/10)-1)/10^(N12/10)))))</f>
        <v>5.1800000000000015</v>
      </c>
      <c r="P13" s="10">
        <f>IF(OR($D$4:P$4)=FALSE,"",IF(P$4=FALSE,O13,IF(OR($D$4:O$4)=FALSE,P9,10*LOG(10^(O13/10)+(10^(P9/10)-1)/10^(O12/10)))))</f>
        <v>5.1800000000000015</v>
      </c>
      <c r="Q13" s="10">
        <f>IF(OR($D$4:Q$4)=FALSE,"",IF(Q$4=FALSE,P13,IF(OR($D$4:P$4)=FALSE,Q9,10*LOG(10^(P13/10)+(10^(Q9/10)-1)/10^(P12/10)))))</f>
        <v>5.1800000000000015</v>
      </c>
      <c r="R13" s="10">
        <f>IF(OR($D$4:R$4)=FALSE,"",IF(R$4=FALSE,Q13,IF(OR($D$4:Q$4)=FALSE,R9,10*LOG(10^(Q13/10)+(10^(R9/10)-1)/10^(Q12/10)))))</f>
        <v>5.1800000000000015</v>
      </c>
      <c r="S13" s="6"/>
      <c r="T13" s="6"/>
      <c r="U13" s="6"/>
      <c r="V13" s="6"/>
    </row>
    <row r="14" spans="1:25" x14ac:dyDescent="0.15">
      <c r="A14" s="6"/>
      <c r="B14" s="33" t="s">
        <v>7</v>
      </c>
      <c r="C14" s="34" t="s">
        <v>3</v>
      </c>
      <c r="D14" s="12">
        <f>IF(AND(D4&lt;&gt;FALSE,D10&lt;&gt;""),D10,"")</f>
        <v>60</v>
      </c>
      <c r="E14" s="10">
        <f>IF(OR($D$4:E$4)=FALSE,"",IF(E$4=FALSE,D14,IF(OR($D$4:D$4)=FALSE,E10,10*LOG(1/(1/10^(E10/10)+1/(10^(D14/10)*10^(E8/10)))))))</f>
        <v>55.875573972056607</v>
      </c>
      <c r="F14" s="10">
        <f>IF(OR($D$4:F$4)=FALSE,"",IF(F$4=FALSE,E14,IF(OR($D$4:E$4)=FALSE,F10,10*LOG(1/(1/10^(F10/10)+1/(10^(E14/10)*10^(F8/10)))))))</f>
        <v>54.089022247940513</v>
      </c>
      <c r="G14" s="10">
        <f>IF(OR($D$4:G$4)=FALSE,"",IF(G$4=FALSE,F14,IF(OR($D$4:F$4)=FALSE,G10,10*LOG(1/(1/10^(G10/10)+1/(10^(F14/10)*10^(G8/10)))))))</f>
        <v>59.999957451920793</v>
      </c>
      <c r="H14" s="10">
        <f>IF(OR($D$4:H$4)=FALSE,"",IF(H$4=FALSE,G14,IF(OR($D$4:G$4)=FALSE,H10,10*LOG(1/(1/10^(H10/10)+1/(10^(G14/10)*10^(H8/10)))))))</f>
        <v>59.999957451920793</v>
      </c>
      <c r="I14" s="10">
        <f>IF(OR($D$4:I$4)=FALSE,"",IF(I$4=FALSE,H14,IF(OR($D$4:H$4)=FALSE,I10,10*LOG(1/(1/10^(I10/10)+1/(10^(H14/10)*10^(I8/10)))))))</f>
        <v>59.999957451920793</v>
      </c>
      <c r="J14" s="10">
        <f>IF(OR($D$4:J$4)=FALSE,"",IF(J$4=FALSE,I14,IF(OR($D$4:I$4)=FALSE,J10,10*LOG(1/(1/10^(J10/10)+1/(10^(I14/10)*10^(J8/10)))))))</f>
        <v>59.999957451920793</v>
      </c>
      <c r="K14" s="10">
        <f>IF(OR($D$4:K$4)=FALSE,"",IF(K$4=FALSE,J14,IF(OR($D$4:J$4)=FALSE,K10,10*LOG(1/(1/10^(K10/10)+1/(10^(J14/10)*10^(K8/10)))))))</f>
        <v>59.999957451920793</v>
      </c>
      <c r="L14" s="10">
        <f>IF(OR($D$4:L$4)=FALSE,"",IF(L$4=FALSE,K14,IF(OR($D$4:K$4)=FALSE,L10,10*LOG(1/(1/10^(L10/10)+1/(10^(K14/10)*10^(L8/10)))))))</f>
        <v>59.999957451920793</v>
      </c>
      <c r="M14" s="10">
        <f>IF(OR($D$4:M$4)=FALSE,"",IF(M$4=FALSE,L14,IF(OR($D$4:L$4)=FALSE,M10,10*LOG(1/(1/10^(M10/10)+1/(10^(L14/10)*10^(M8/10)))))))</f>
        <v>59.999957451920793</v>
      </c>
      <c r="N14" s="10">
        <f>IF(OR($D$4:N$4)=FALSE,"",IF(N$4=FALSE,M14,IF(OR($D$4:M$4)=FALSE,N10,10*LOG(1/(1/10^(N10/10)+1/(10^(M14/10)*10^(N8/10)))))))</f>
        <v>59.999957451920793</v>
      </c>
      <c r="O14" s="10">
        <f>IF(OR($D$4:O$4)=FALSE,"",IF(O$4=FALSE,N14,IF(OR($D$4:N$4)=FALSE,O10,10*LOG(1/(1/10^(O10/10)+1/(10^(N14/10)*10^(O8/10)))))))</f>
        <v>59.999957451920793</v>
      </c>
      <c r="P14" s="10">
        <f>IF(OR($D$4:P$4)=FALSE,"",IF(P$4=FALSE,O14,IF(OR($D$4:O$4)=FALSE,P10,10*LOG(1/(1/10^(P10/10)+1/(10^(O14/10)*10^(P8/10)))))))</f>
        <v>59.999957451920793</v>
      </c>
      <c r="Q14" s="10">
        <f>IF(OR($D$4:Q$4)=FALSE,"",IF(Q$4=FALSE,P14,IF(OR($D$4:P$4)=FALSE,Q10,10*LOG(1/(1/10^(Q10/10)+1/(10^(P14/10)*10^(Q8/10)))))))</f>
        <v>59.999957451920793</v>
      </c>
      <c r="R14" s="10">
        <f>IF(OR($D$4:R$4)=FALSE,"",IF(R$4=FALSE,Q14,IF(OR($D$4:Q$4)=FALSE,R10,10*LOG(1/(1/10^(R10/10)+1/(10^(Q14/10)*10^(R8/10)))))))</f>
        <v>59.999957451920793</v>
      </c>
      <c r="S14" s="6"/>
      <c r="T14" s="6"/>
      <c r="U14" s="6"/>
      <c r="V14" s="6"/>
    </row>
    <row r="15" spans="1:25" ht="17.25" thickBot="1" x14ac:dyDescent="0.2">
      <c r="A15" s="6"/>
      <c r="B15" s="35" t="s">
        <v>36</v>
      </c>
      <c r="C15" s="36" t="s">
        <v>3</v>
      </c>
      <c r="D15" s="22">
        <f>IF(AND(D4&lt;&gt;FALSE,D11&lt;&gt;""),D11,"")</f>
        <v>60</v>
      </c>
      <c r="E15" s="16">
        <f>IF(OR($D$4:E$4)=FALSE,"",IF(E$4=FALSE,D15,IF(OR($D$4:D$4)=FALSE,E11,10*LOG(1/(1/10^(E11/10)+1/(10^(D15/10)*10^(E8/10)))))))</f>
        <v>55.875573972056607</v>
      </c>
      <c r="F15" s="16">
        <f>IF(OR($D$4:F$4)=FALSE,"",IF(F$4=FALSE,E15,IF(OR($D$4:E$4)=FALSE,F11,10*LOG(1/(1/10^(F11/10)+1/(10^(E15/10)*10^(F8/10)))))))</f>
        <v>54.089022247940513</v>
      </c>
      <c r="G15" s="16">
        <f>IF(OR($D$4:G$4)=FALSE,"",IF(G$4=FALSE,F15,IF(OR($D$4:F$4)=FALSE,G11,10*LOG(1/(1/10^(G11/10)+1/(10^(F15/10)*10^(G8/10)))))))</f>
        <v>59.999957451920793</v>
      </c>
      <c r="H15" s="16">
        <f>IF(OR($D$4:H$4)=FALSE,"",IF(H$4=FALSE,G15,IF(OR($D$4:G$4)=FALSE,H11,10*LOG(1/(1/10^(H11/10)+1/(10^(G15/10)*10^(H8/10)))))))</f>
        <v>59.999957451920793</v>
      </c>
      <c r="I15" s="16">
        <f>IF(OR($D$4:I$4)=FALSE,"",IF(I$4=FALSE,H15,IF(OR($D$4:H$4)=FALSE,I11,10*LOG(1/(1/10^(I11/10)+1/(10^(H15/10)*10^(I8/10)))))))</f>
        <v>59.999957451920793</v>
      </c>
      <c r="J15" s="16">
        <f>IF(OR($D$4:J$4)=FALSE,"",IF(J$4=FALSE,I15,IF(OR($D$4:I$4)=FALSE,J11,10*LOG(1/(1/10^(J11/10)+1/(10^(I15/10)*10^(J8/10)))))))</f>
        <v>59.999957451920793</v>
      </c>
      <c r="K15" s="16">
        <f>IF(OR($D$4:K$4)=FALSE,"",IF(K$4=FALSE,J15,IF(OR($D$4:J$4)=FALSE,K11,10*LOG(1/(1/10^(K11/10)+1/(10^(J15/10)*10^(K8/10)))))))</f>
        <v>59.999957451920793</v>
      </c>
      <c r="L15" s="16">
        <f>IF(OR($D$4:L$4)=FALSE,"",IF(L$4=FALSE,K15,IF(OR($D$4:K$4)=FALSE,L11,10*LOG(1/(1/10^(L11/10)+1/(10^(K15/10)*10^(L8/10)))))))</f>
        <v>59.999957451920793</v>
      </c>
      <c r="M15" s="16">
        <f>IF(OR($D$4:M$4)=FALSE,"",IF(M$4=FALSE,L15,IF(OR($D$4:L$4)=FALSE,M11,10*LOG(1/(1/10^(M11/10)+1/(10^(L15/10)*10^(M8/10)))))))</f>
        <v>59.999957451920793</v>
      </c>
      <c r="N15" s="16">
        <f>IF(OR($D$4:N$4)=FALSE,"",IF(N$4=FALSE,M15,IF(OR($D$4:M$4)=FALSE,N11,10*LOG(1/(1/10^(N11/10)+1/(10^(M15/10)*10^(N8/10)))))))</f>
        <v>59.999957451920793</v>
      </c>
      <c r="O15" s="16">
        <f>IF(OR($D$4:O$4)=FALSE,"",IF(O$4=FALSE,N15,IF(OR($D$4:N$4)=FALSE,O11,10*LOG(1/(1/10^(O11/10)+1/(10^(N15/10)*10^(O8/10)))))))</f>
        <v>59.999957451920793</v>
      </c>
      <c r="P15" s="16">
        <f>IF(OR($D$4:P$4)=FALSE,"",IF(P$4=FALSE,O15,IF(OR($D$4:O$4)=FALSE,P11,10*LOG(1/(1/10^(P11/10)+1/(10^(O15/10)*10^(P8/10)))))))</f>
        <v>59.999957451920793</v>
      </c>
      <c r="Q15" s="16">
        <f>IF(OR($D$4:Q$4)=FALSE,"",IF(Q$4=FALSE,P15,IF(OR($D$4:P$4)=FALSE,Q11,10*LOG(1/(1/10^(Q11/10)+1/(10^(P15/10)*10^(Q8/10)))))))</f>
        <v>59.999957451920793</v>
      </c>
      <c r="R15" s="16">
        <f>IF(OR($D$4:R$4)=FALSE,"",IF(R$4=FALSE,Q15,IF(OR($D$4:Q$4)=FALSE,R11,10*LOG(1/(1/10^(R11/10)+1/(10^(Q15/10)*10^(R8/10)))))))</f>
        <v>59.999957451920793</v>
      </c>
      <c r="S15" s="6"/>
      <c r="T15" s="6"/>
      <c r="U15" s="6"/>
      <c r="V15" s="6"/>
    </row>
    <row r="16" spans="1:25" ht="17.25" thickTop="1" x14ac:dyDescent="0.15">
      <c r="A16" s="6"/>
      <c r="B16" s="37" t="s">
        <v>37</v>
      </c>
      <c r="C16" s="38" t="s">
        <v>3</v>
      </c>
      <c r="D16" s="14">
        <f>IF(AND(D4&lt;&gt;FALSE,G23&lt;&gt;""),G23,"")</f>
        <v>-50</v>
      </c>
      <c r="E16" s="11">
        <f>IF(OR($D$4:E$4)=FALSE,"",IF(E$4=FALSE,D16,IF(OR($D$4:D$4)=FALSE,$G$23,D17)))</f>
        <v>-50.38</v>
      </c>
      <c r="F16" s="11">
        <f>IF(OR($D$4:F$4)=FALSE,"",IF(F$4=FALSE,E16,IF(OR($D$4:E$4)=FALSE,$G$23,E17)))</f>
        <v>-52.38</v>
      </c>
      <c r="G16" s="11">
        <f>IF(OR($D$4:G$4)=FALSE,"",IF(G$4=FALSE,F16,IF(OR($D$4:F$4)=FALSE,$G$23,F17)))</f>
        <v>-52.88</v>
      </c>
      <c r="H16" s="11">
        <f>IF(OR($D$4:H$4)=FALSE,"",IF(H$4=FALSE,G16,IF(OR($D$4:G$4)=FALSE,$G$23,G17)))</f>
        <v>-52.88</v>
      </c>
      <c r="I16" s="11">
        <f>IF(OR($D$4:I$4)=FALSE,"",IF(I$4=FALSE,H16,IF(OR($D$4:H$4)=FALSE,$G$23,H17)))</f>
        <v>-52.88</v>
      </c>
      <c r="J16" s="11">
        <f>IF(OR($D$4:J$4)=FALSE,"",IF(J$4=FALSE,I16,IF(OR($D$4:I$4)=FALSE,$G$23,I17)))</f>
        <v>-52.88</v>
      </c>
      <c r="K16" s="11">
        <f>IF(OR($D$4:K$4)=FALSE,"",IF(K$4=FALSE,J16,IF(OR($D$4:J$4)=FALSE,$G$23,J17)))</f>
        <v>-52.88</v>
      </c>
      <c r="L16" s="11">
        <f>IF(OR($D$4:L$4)=FALSE,"",IF(L$4=FALSE,K16,IF(OR($D$4:K$4)=FALSE,$G$23,K17)))</f>
        <v>-52.88</v>
      </c>
      <c r="M16" s="11">
        <f>IF(OR($D$4:M$4)=FALSE,"",IF(M$4=FALSE,L16,IF(OR($D$4:L$4)=FALSE,$G$23,L17)))</f>
        <v>-52.88</v>
      </c>
      <c r="N16" s="11">
        <f>IF(OR($D$4:N$4)=FALSE,"",IF(N$4=FALSE,M16,IF(OR($D$4:M$4)=FALSE,$G$23,M17)))</f>
        <v>-52.88</v>
      </c>
      <c r="O16" s="11">
        <f>IF(OR($D$4:O$4)=FALSE,"",IF(O$4=FALSE,N16,IF(OR($D$4:N$4)=FALSE,$G$23,N17)))</f>
        <v>-52.88</v>
      </c>
      <c r="P16" s="11">
        <f>IF(OR($D$4:P$4)=FALSE,"",IF(P$4=FALSE,O16,IF(OR($D$4:O$4)=FALSE,$G$23,O17)))</f>
        <v>-52.88</v>
      </c>
      <c r="Q16" s="11">
        <f>IF(OR($D$4:Q$4)=FALSE,"",IF(Q$4=FALSE,P16,IF(OR($D$4:P$4)=FALSE,$G$23,P17)))</f>
        <v>-52.88</v>
      </c>
      <c r="R16" s="11">
        <f>IF(OR($D$4:R$4)=FALSE,"",IF(R$4=FALSE,Q16,IF(OR($D$4:Q$4)=FALSE,$G$23,Q17)))</f>
        <v>-52.88</v>
      </c>
      <c r="S16" s="6"/>
      <c r="T16" s="6"/>
      <c r="U16" s="6"/>
      <c r="V16" s="6"/>
    </row>
    <row r="17" spans="1:22" x14ac:dyDescent="0.15">
      <c r="A17" s="6"/>
      <c r="B17" s="25" t="s">
        <v>8</v>
      </c>
      <c r="C17" s="26" t="s">
        <v>3</v>
      </c>
      <c r="D17" s="12">
        <f>IF(AND(D4&lt;&gt;FALSE,D8&lt;&gt;"",D16&lt;&gt;""),D16+D8,"")</f>
        <v>-50.38</v>
      </c>
      <c r="E17" s="10">
        <f>IF(AND(E4&lt;&gt;FALSE,E16&lt;&gt;"",E16&lt;&gt;""),E8+E16,D17)</f>
        <v>-52.38</v>
      </c>
      <c r="F17" s="10">
        <f t="shared" ref="F17:M17" si="0">IF(AND(F4&lt;&gt;FALSE,F16&lt;&gt;"",F16&lt;&gt;""),F8+F16,E17)</f>
        <v>-52.88</v>
      </c>
      <c r="G17" s="10">
        <f t="shared" si="0"/>
        <v>3.1199999999999974</v>
      </c>
      <c r="H17" s="10">
        <f t="shared" si="0"/>
        <v>3.1199999999999974</v>
      </c>
      <c r="I17" s="10">
        <f t="shared" si="0"/>
        <v>3.1199999999999974</v>
      </c>
      <c r="J17" s="10">
        <f t="shared" si="0"/>
        <v>3.1199999999999974</v>
      </c>
      <c r="K17" s="10">
        <f t="shared" si="0"/>
        <v>3.1199999999999974</v>
      </c>
      <c r="L17" s="10">
        <f t="shared" si="0"/>
        <v>3.1199999999999974</v>
      </c>
      <c r="M17" s="10">
        <f t="shared" si="0"/>
        <v>3.1199999999999974</v>
      </c>
      <c r="N17" s="10">
        <f>IF(AND(N4&lt;&gt;FALSE,N16&lt;&gt;"",N16&lt;&gt;""),N8+N16,M17)</f>
        <v>3.1199999999999974</v>
      </c>
      <c r="O17" s="10">
        <f>IF(AND(O4&lt;&gt;FALSE,O16&lt;&gt;"",O16&lt;&gt;""),O8+O16,N17)</f>
        <v>3.1199999999999974</v>
      </c>
      <c r="P17" s="10">
        <f>IF(AND(P4&lt;&gt;FALSE,P16&lt;&gt;"",P16&lt;&gt;""),P8+P16,O17)</f>
        <v>3.1199999999999974</v>
      </c>
      <c r="Q17" s="10">
        <f>IF(AND(Q4&lt;&gt;FALSE,Q16&lt;&gt;"",Q16&lt;&gt;""),Q8+Q16,P17)</f>
        <v>3.1199999999999974</v>
      </c>
      <c r="R17" s="10">
        <f>IF(AND(R4&lt;&gt;FALSE,R16&lt;&gt;"",R16&lt;&gt;""),R8+R16,Q17)</f>
        <v>3.1199999999999974</v>
      </c>
      <c r="S17" s="6"/>
      <c r="T17" s="6"/>
      <c r="U17" s="6"/>
      <c r="V17" s="6"/>
    </row>
    <row r="18" spans="1:22" x14ac:dyDescent="0.15">
      <c r="A18" s="6"/>
      <c r="B18" s="27" t="s">
        <v>9</v>
      </c>
      <c r="C18" s="28" t="s">
        <v>1</v>
      </c>
      <c r="D18" s="12">
        <f>IF(AND(D4&lt;&gt;FALSE,D10&lt;&gt;"",D17&lt;&gt;""),D10-D17,"")</f>
        <v>110.38</v>
      </c>
      <c r="E18" s="10">
        <f>IF(AND(E4&lt;&gt;FALSE,E10&lt;&gt;"",E17&lt;&gt;""),E10-E17,D18)</f>
        <v>112.38</v>
      </c>
      <c r="F18" s="10">
        <f t="shared" ref="F18:M18" si="1">IF(AND(F4&lt;&gt;FALSE,F10&lt;&gt;"",F17&lt;&gt;""),F10-F17,E18)</f>
        <v>112.88</v>
      </c>
      <c r="G18" s="10">
        <f t="shared" si="1"/>
        <v>56.88</v>
      </c>
      <c r="H18" s="10">
        <f t="shared" si="1"/>
        <v>56.88</v>
      </c>
      <c r="I18" s="10">
        <f t="shared" si="1"/>
        <v>56.88</v>
      </c>
      <c r="J18" s="10">
        <f t="shared" si="1"/>
        <v>56.88</v>
      </c>
      <c r="K18" s="10">
        <f t="shared" si="1"/>
        <v>56.88</v>
      </c>
      <c r="L18" s="10">
        <f t="shared" si="1"/>
        <v>56.88</v>
      </c>
      <c r="M18" s="10" t="e">
        <f t="shared" si="1"/>
        <v>#N/A</v>
      </c>
      <c r="N18" s="10" t="e">
        <f>IF(AND(N4&lt;&gt;FALSE,N10&lt;&gt;"",N17&lt;&gt;""),N10-N17,M18)</f>
        <v>#N/A</v>
      </c>
      <c r="O18" s="10" t="e">
        <f>IF(AND(O4&lt;&gt;FALSE,O10&lt;&gt;"",O17&lt;&gt;""),O10-O17,N18)</f>
        <v>#N/A</v>
      </c>
      <c r="P18" s="10" t="e">
        <f>IF(AND(P4&lt;&gt;FALSE,P10&lt;&gt;"",P17&lt;&gt;""),P10-P17,O18)</f>
        <v>#N/A</v>
      </c>
      <c r="Q18" s="10" t="e">
        <f>IF(AND(Q4&lt;&gt;FALSE,Q10&lt;&gt;"",Q17&lt;&gt;""),Q10-Q17,P18)</f>
        <v>#N/A</v>
      </c>
      <c r="R18" s="10" t="e">
        <f>IF(AND(R4&lt;&gt;FALSE,R10&lt;&gt;"",R17&lt;&gt;""),R10-R17,Q18)</f>
        <v>#N/A</v>
      </c>
      <c r="S18" s="6"/>
      <c r="T18" s="6"/>
      <c r="U18" s="6"/>
      <c r="V18" s="6"/>
    </row>
    <row r="19" spans="1:22" x14ac:dyDescent="0.15">
      <c r="A19" s="6"/>
      <c r="B19" s="25" t="s">
        <v>10</v>
      </c>
      <c r="C19" s="26" t="s">
        <v>42</v>
      </c>
      <c r="D19" s="12">
        <f>IF(AND(D4&lt;&gt;FALSE,D15&lt;&gt;"",D17&lt;&gt;""),2*(D15-D17),"")</f>
        <v>220.76</v>
      </c>
      <c r="E19" s="10">
        <f>IF(AND(E4&lt;&gt;FALSE,E15&lt;&gt;"",E17&lt;&gt;""),2*(E15-E17),D19)</f>
        <v>216.51114794411322</v>
      </c>
      <c r="F19" s="10">
        <f>IF(AND(F4&lt;&gt;FALSE,F15&lt;&gt;"",F17&lt;&gt;""),2*(F15-F17),E19)</f>
        <v>213.93804449588103</v>
      </c>
      <c r="G19" s="10">
        <f>IF(AND(G4&lt;&gt;FALSE,G15&lt;&gt;"",G17&lt;&gt;""),2*(G15-G17),F19)</f>
        <v>113.75991490384159</v>
      </c>
      <c r="H19" s="10">
        <f>IF(AND(H4&lt;&gt;FALSE,H15&lt;&gt;"",H17&lt;&gt;""),2*(H15-H17),G19)</f>
        <v>113.75991490384159</v>
      </c>
      <c r="I19" s="10">
        <f t="shared" ref="I19:R19" si="2">IF(AND(I4&lt;&gt;FALSE,I15&lt;&gt;"",I17&lt;&gt;""),2*(I15-I17),H19)</f>
        <v>113.75991490384159</v>
      </c>
      <c r="J19" s="10">
        <f t="shared" si="2"/>
        <v>113.75991490384159</v>
      </c>
      <c r="K19" s="10">
        <f t="shared" si="2"/>
        <v>113.75991490384159</v>
      </c>
      <c r="L19" s="10">
        <f t="shared" si="2"/>
        <v>113.75991490384159</v>
      </c>
      <c r="M19" s="10">
        <f t="shared" si="2"/>
        <v>113.75991490384159</v>
      </c>
      <c r="N19" s="10">
        <f t="shared" si="2"/>
        <v>113.75991490384159</v>
      </c>
      <c r="O19" s="10">
        <f t="shared" si="2"/>
        <v>113.75991490384159</v>
      </c>
      <c r="P19" s="10">
        <f t="shared" si="2"/>
        <v>113.75991490384159</v>
      </c>
      <c r="Q19" s="10">
        <f t="shared" si="2"/>
        <v>113.75991490384159</v>
      </c>
      <c r="R19" s="10">
        <f t="shared" si="2"/>
        <v>113.75991490384159</v>
      </c>
      <c r="S19" s="6"/>
      <c r="T19" s="6"/>
      <c r="U19" s="6"/>
      <c r="V19" s="6"/>
    </row>
    <row r="20" spans="1:22" x14ac:dyDescent="0.15">
      <c r="A20" s="6"/>
      <c r="B20" s="39" t="s">
        <v>13</v>
      </c>
      <c r="C20" s="40" t="s">
        <v>1</v>
      </c>
      <c r="D20" s="12">
        <f>IF(AND(D4&lt;&gt;FALSE,D15&lt;&gt;"",D17&lt;&gt;"",$G$28&lt;&gt;""),-20.75+1.6*$G$28+2*(D17-D15),"")</f>
        <v>-225.51</v>
      </c>
      <c r="E20" s="10">
        <f>IF(AND(E4&lt;&gt;FALSE,E15&lt;&gt;"",E17&lt;&gt;"",$G$28&lt;&gt;""),-20.75+1.6*$G$28+2*(E17-E15),D20)</f>
        <v>-221.26114794411322</v>
      </c>
      <c r="F20" s="10">
        <f t="shared" ref="F20:M20" si="3">IF(AND(F4&lt;&gt;FALSE,F15&lt;&gt;"",F17&lt;&gt;"",$G$28&lt;&gt;""),-20.75+1.6*$G$28+2*(F17-F15),E20)</f>
        <v>-218.68804449588103</v>
      </c>
      <c r="G20" s="10">
        <f t="shared" si="3"/>
        <v>-118.50991490384159</v>
      </c>
      <c r="H20" s="10">
        <f t="shared" si="3"/>
        <v>-118.50991490384159</v>
      </c>
      <c r="I20" s="10">
        <f t="shared" si="3"/>
        <v>-118.50991490384159</v>
      </c>
      <c r="J20" s="10">
        <f t="shared" si="3"/>
        <v>-118.50991490384159</v>
      </c>
      <c r="K20" s="10">
        <f t="shared" si="3"/>
        <v>-118.50991490384159</v>
      </c>
      <c r="L20" s="10">
        <f t="shared" si="3"/>
        <v>-118.50991490384159</v>
      </c>
      <c r="M20" s="10">
        <f t="shared" si="3"/>
        <v>-118.50991490384159</v>
      </c>
      <c r="N20" s="10">
        <f>IF(AND(N4&lt;&gt;FALSE,N15&lt;&gt;"",N17&lt;&gt;"",$G$28&lt;&gt;""),-20.75+1.6*$G$28+2*(N17-N15),M20)</f>
        <v>-118.50991490384159</v>
      </c>
      <c r="O20" s="10">
        <f>IF(AND(O4&lt;&gt;FALSE,O15&lt;&gt;"",O17&lt;&gt;"",$G$28&lt;&gt;""),-20.75+1.6*$G$28+2*(O17-O15),N20)</f>
        <v>-118.50991490384159</v>
      </c>
      <c r="P20" s="10">
        <f>IF(AND(P4&lt;&gt;FALSE,P15&lt;&gt;"",P17&lt;&gt;"",$G$28&lt;&gt;""),-20.75+1.6*$G$28+2*(P17-P15),O20)</f>
        <v>-118.50991490384159</v>
      </c>
      <c r="Q20" s="10">
        <f>IF(AND(Q4&lt;&gt;FALSE,Q15&lt;&gt;"",Q17&lt;&gt;"",$G$28&lt;&gt;""),-20.75+1.6*$G$28+2*(Q17-Q15),P20)</f>
        <v>-118.50991490384159</v>
      </c>
      <c r="R20" s="10">
        <f>IF(AND(R4&lt;&gt;FALSE,R15&lt;&gt;"",R17&lt;&gt;"",$G$28&lt;&gt;""),-20.75+1.6*$G$28+2*(R17-R15),Q20)</f>
        <v>-118.50991490384159</v>
      </c>
      <c r="S20" s="6"/>
      <c r="T20" s="6"/>
      <c r="U20" s="6"/>
      <c r="V20" s="6"/>
    </row>
    <row r="21" spans="1:22" x14ac:dyDescent="0.15">
      <c r="A21" s="6"/>
      <c r="B21" s="7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</row>
    <row r="22" spans="1:22" x14ac:dyDescent="0.15">
      <c r="A22" s="6"/>
      <c r="B22"/>
      <c r="C22"/>
      <c r="D22" s="74" t="s">
        <v>11</v>
      </c>
      <c r="E22" s="74"/>
      <c r="F22" s="74"/>
      <c r="G22" s="74"/>
      <c r="H22" s="17"/>
      <c r="I22" s="68" t="s">
        <v>48</v>
      </c>
      <c r="J22" s="69"/>
      <c r="K22" s="69"/>
      <c r="L22" s="69"/>
      <c r="M22" s="70"/>
      <c r="N22" s="6"/>
      <c r="O22" s="65" t="s">
        <v>19</v>
      </c>
      <c r="P22" s="66"/>
      <c r="Q22" s="66"/>
      <c r="R22" s="67"/>
      <c r="S22" s="6"/>
      <c r="T22" s="6"/>
      <c r="U22" s="6"/>
      <c r="V22" s="6"/>
    </row>
    <row r="23" spans="1:22" x14ac:dyDescent="0.15">
      <c r="A23" s="6"/>
      <c r="B23"/>
      <c r="C23"/>
      <c r="D23" s="75" t="s">
        <v>37</v>
      </c>
      <c r="E23" s="75"/>
      <c r="F23" s="19" t="s">
        <v>3</v>
      </c>
      <c r="G23" s="20">
        <v>-50</v>
      </c>
      <c r="H23" s="6"/>
      <c r="I23" s="74" t="s">
        <v>16</v>
      </c>
      <c r="J23" s="74"/>
      <c r="K23" s="74"/>
      <c r="L23" s="19" t="s">
        <v>3</v>
      </c>
      <c r="M23" s="12">
        <f>IF(AND(G25&lt;&gt;"",G27&lt;&gt;"",G26&lt;&gt;""),10*LOG(1.3806505*10^(-20)*G25*10^6*G27)+LOOKUP(9E+307,13:13)+G26,"")</f>
        <v>-100.13457471969123</v>
      </c>
      <c r="N23" s="6"/>
      <c r="O23" s="76" t="s">
        <v>21</v>
      </c>
      <c r="P23" s="77"/>
      <c r="Q23" s="77"/>
      <c r="R23" s="78"/>
      <c r="S23" s="6"/>
      <c r="T23" s="6"/>
      <c r="U23" s="6"/>
      <c r="V23" s="6"/>
    </row>
    <row r="24" spans="1:22" x14ac:dyDescent="0.15">
      <c r="A24" s="6"/>
      <c r="B24"/>
      <c r="C24"/>
      <c r="D24" s="75" t="s">
        <v>14</v>
      </c>
      <c r="E24" s="75"/>
      <c r="F24" s="19" t="s">
        <v>1</v>
      </c>
      <c r="G24" s="20">
        <v>10</v>
      </c>
      <c r="H24" s="6"/>
      <c r="I24" s="74" t="s">
        <v>17</v>
      </c>
      <c r="J24" s="74"/>
      <c r="K24" s="74"/>
      <c r="L24" s="19" t="s">
        <v>49</v>
      </c>
      <c r="M24" s="12">
        <f>IF(AND(G27&lt;&gt;""),10*LOG(1.3806505*10^(-20)*G27)+LOOKUP(9E+307,13:13),"")</f>
        <v>-168.67699981408447</v>
      </c>
      <c r="N24" s="6"/>
      <c r="O24" s="76" t="s">
        <v>51</v>
      </c>
      <c r="P24" s="77"/>
      <c r="Q24" s="77"/>
      <c r="R24" s="78"/>
      <c r="S24" s="6"/>
      <c r="T24" s="6"/>
      <c r="U24" s="6"/>
      <c r="V24" s="6"/>
    </row>
    <row r="25" spans="1:22" x14ac:dyDescent="0.15">
      <c r="A25" s="6"/>
      <c r="B25"/>
      <c r="C25"/>
      <c r="D25" s="75" t="s">
        <v>43</v>
      </c>
      <c r="E25" s="75"/>
      <c r="F25" s="19" t="s">
        <v>25</v>
      </c>
      <c r="G25" s="20">
        <v>9</v>
      </c>
      <c r="H25" s="6"/>
      <c r="I25" s="74" t="s">
        <v>22</v>
      </c>
      <c r="J25" s="74"/>
      <c r="K25" s="74"/>
      <c r="L25" s="19" t="s">
        <v>20</v>
      </c>
      <c r="M25" s="12">
        <f>IF(AND(M24&lt;&gt;""),M24+LOOKUP(9E+307,12:12),"")</f>
        <v>-115.55699981408446</v>
      </c>
      <c r="N25" s="6"/>
      <c r="O25" s="76" t="s">
        <v>33</v>
      </c>
      <c r="P25" s="77"/>
      <c r="Q25" s="77"/>
      <c r="R25" s="78"/>
      <c r="S25" s="6"/>
      <c r="T25" s="6"/>
      <c r="U25" s="6"/>
      <c r="V25" s="6"/>
    </row>
    <row r="26" spans="1:22" x14ac:dyDescent="0.15">
      <c r="A26" s="6"/>
      <c r="B26"/>
      <c r="C26"/>
      <c r="D26" s="75" t="s">
        <v>44</v>
      </c>
      <c r="E26" s="75"/>
      <c r="F26" s="19" t="s">
        <v>1</v>
      </c>
      <c r="G26" s="20">
        <v>-1</v>
      </c>
      <c r="H26" s="6"/>
      <c r="I26" s="74" t="s">
        <v>15</v>
      </c>
      <c r="J26" s="74"/>
      <c r="K26" s="74"/>
      <c r="L26" s="19" t="s">
        <v>20</v>
      </c>
      <c r="M26" s="12">
        <f>IF(AND(G25&lt;&gt;"",G27&lt;&gt;""),10*LOG(1.3806505*10^(-20)*G25*10^6*G27)+LOOKUP(9E+307,13:13),"")</f>
        <v>-99.13457471969123</v>
      </c>
      <c r="N26" s="6"/>
      <c r="O26" s="76" t="s">
        <v>34</v>
      </c>
      <c r="P26" s="77"/>
      <c r="Q26" s="77"/>
      <c r="R26" s="78"/>
      <c r="S26" s="6"/>
      <c r="T26" s="6"/>
      <c r="U26" s="6"/>
      <c r="V26" s="6"/>
    </row>
    <row r="27" spans="1:22" x14ac:dyDescent="0.15">
      <c r="A27" s="6"/>
      <c r="B27"/>
      <c r="C27"/>
      <c r="D27" s="75" t="s">
        <v>45</v>
      </c>
      <c r="E27" s="75"/>
      <c r="F27" s="19" t="s">
        <v>46</v>
      </c>
      <c r="G27" s="20">
        <v>298</v>
      </c>
      <c r="H27" s="6"/>
      <c r="I27" s="74" t="s">
        <v>18</v>
      </c>
      <c r="J27" s="74"/>
      <c r="K27" s="74"/>
      <c r="L27" s="19" t="s">
        <v>20</v>
      </c>
      <c r="M27" s="12">
        <f>IF(AND(M26&lt;&gt;""),M26+LOOKUP(9E+307,12:12),"")</f>
        <v>-46.014574719691232</v>
      </c>
      <c r="N27" s="6"/>
      <c r="O27" s="76" t="s">
        <v>23</v>
      </c>
      <c r="P27" s="77"/>
      <c r="Q27" s="77"/>
      <c r="R27" s="78"/>
      <c r="S27" s="6"/>
      <c r="T27" s="6"/>
      <c r="U27" s="6"/>
      <c r="V27" s="6"/>
    </row>
    <row r="28" spans="1:22" x14ac:dyDescent="0.15">
      <c r="A28" s="6"/>
      <c r="B28"/>
      <c r="C28"/>
      <c r="D28" s="75" t="s">
        <v>12</v>
      </c>
      <c r="E28" s="75"/>
      <c r="F28" s="19" t="s">
        <v>1</v>
      </c>
      <c r="G28" s="20">
        <v>10</v>
      </c>
      <c r="H28" s="6"/>
      <c r="I28" s="74" t="s">
        <v>50</v>
      </c>
      <c r="J28" s="74"/>
      <c r="K28" s="74"/>
      <c r="L28" s="19" t="s">
        <v>1</v>
      </c>
      <c r="M28" s="12">
        <f>G23-M26</f>
        <v>49.13457471969123</v>
      </c>
      <c r="N28" s="6"/>
      <c r="O28" s="76" t="s">
        <v>35</v>
      </c>
      <c r="P28" s="77"/>
      <c r="Q28" s="77"/>
      <c r="R28" s="78"/>
      <c r="S28" s="6"/>
      <c r="T28" s="6"/>
      <c r="U28" s="6"/>
      <c r="V28" s="6"/>
    </row>
    <row r="29" spans="1:22" x14ac:dyDescent="0.15">
      <c r="A29" s="6"/>
      <c r="B29"/>
      <c r="C29"/>
      <c r="D29" s="75" t="s">
        <v>28</v>
      </c>
      <c r="E29" s="75"/>
      <c r="F29" s="19"/>
      <c r="G29" s="20" t="s">
        <v>26</v>
      </c>
      <c r="H29" s="9"/>
      <c r="I29" s="74" t="s">
        <v>27</v>
      </c>
      <c r="J29" s="74"/>
      <c r="K29" s="74"/>
      <c r="L29" s="19"/>
      <c r="M29" s="18" t="str">
        <f>IF(G29="是",IF(LOOKUP(9E+307,17:17)&gt;G31,"起控","未起控"),"无效")</f>
        <v>未起控</v>
      </c>
      <c r="N29" s="8"/>
      <c r="O29" s="8"/>
      <c r="P29" s="8"/>
      <c r="Q29" s="8"/>
      <c r="R29" s="8"/>
      <c r="S29" s="8"/>
      <c r="T29" s="8"/>
      <c r="U29" s="8"/>
      <c r="V29" s="6"/>
    </row>
    <row r="30" spans="1:22" s="3" customFormat="1" x14ac:dyDescent="0.15">
      <c r="A30" s="8"/>
      <c r="B30" s="8"/>
      <c r="C30" s="6"/>
      <c r="D30" s="75" t="s">
        <v>60</v>
      </c>
      <c r="E30" s="75"/>
      <c r="F30" s="19"/>
      <c r="G30" s="20">
        <v>6</v>
      </c>
      <c r="H30" s="8"/>
      <c r="I30" s="74" t="s">
        <v>32</v>
      </c>
      <c r="J30" s="74"/>
      <c r="K30" s="74"/>
      <c r="L30" s="19" t="s">
        <v>1</v>
      </c>
      <c r="M30" s="12">
        <f>LOOKUP(9E+307,17:17)-G31</f>
        <v>-13.880000000000003</v>
      </c>
      <c r="N30" s="8"/>
      <c r="O30" s="8"/>
      <c r="P30" s="8"/>
      <c r="Q30" s="8"/>
      <c r="R30" s="8"/>
      <c r="S30" s="8"/>
      <c r="T30" s="8"/>
      <c r="U30" s="8"/>
      <c r="V30" s="8"/>
    </row>
    <row r="31" spans="1:22" s="3" customFormat="1" x14ac:dyDescent="0.15">
      <c r="A31" s="8"/>
      <c r="B31" s="8"/>
      <c r="C31" s="6"/>
      <c r="D31" s="75" t="s">
        <v>47</v>
      </c>
      <c r="E31" s="75"/>
      <c r="F31" s="19" t="s">
        <v>3</v>
      </c>
      <c r="G31" s="20">
        <v>17</v>
      </c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</row>
    <row r="32" spans="1:22" s="3" customFormat="1" x14ac:dyDescent="0.15">
      <c r="A32" s="8"/>
      <c r="B32" s="8"/>
      <c r="C32" s="6"/>
      <c r="D32" s="8" t="s">
        <v>68</v>
      </c>
      <c r="E32" s="8"/>
      <c r="F32" s="8"/>
      <c r="G32" s="6">
        <v>65</v>
      </c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</row>
    <row r="33" spans="1:22" s="3" customFormat="1" x14ac:dyDescent="0.15">
      <c r="A33" s="8"/>
      <c r="B33" s="8"/>
      <c r="C33" s="6"/>
      <c r="D33"/>
      <c r="E33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</row>
    <row r="34" spans="1:22" s="3" customFormat="1" x14ac:dyDescent="0.15">
      <c r="A34" s="8"/>
      <c r="B34" s="8"/>
      <c r="C34" s="6"/>
      <c r="D34"/>
      <c r="E34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</row>
    <row r="35" spans="1:22" s="3" customFormat="1" x14ac:dyDescent="0.15">
      <c r="A35" s="8"/>
      <c r="B35" s="8"/>
      <c r="C35" s="6"/>
      <c r="D35"/>
      <c r="E35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</row>
    <row r="36" spans="1:22" s="3" customFormat="1" x14ac:dyDescent="0.15">
      <c r="C36" s="6"/>
      <c r="D36"/>
      <c r="E36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</row>
    <row r="37" spans="1:22" s="3" customFormat="1" x14ac:dyDescent="0.15">
      <c r="C37" s="2"/>
      <c r="D37"/>
      <c r="E37"/>
      <c r="F37" s="8"/>
      <c r="G37" s="8"/>
    </row>
    <row r="38" spans="1:22" s="3" customFormat="1" x14ac:dyDescent="0.15">
      <c r="C38" s="2"/>
      <c r="D38"/>
      <c r="E38"/>
    </row>
    <row r="39" spans="1:22" s="3" customFormat="1" x14ac:dyDescent="0.15">
      <c r="C39" s="2"/>
      <c r="D39"/>
      <c r="E39"/>
    </row>
    <row r="40" spans="1:22" x14ac:dyDescent="0.15">
      <c r="B40" s="2"/>
      <c r="D40" s="3"/>
      <c r="E40" s="3"/>
      <c r="G40" s="3"/>
      <c r="J40" s="3"/>
      <c r="K40" s="3"/>
      <c r="L40" s="3"/>
      <c r="M40" s="3"/>
      <c r="N40" s="3"/>
      <c r="O40" s="3"/>
      <c r="P40" s="3"/>
    </row>
    <row r="41" spans="1:22" x14ac:dyDescent="0.15">
      <c r="J41" s="3"/>
      <c r="K41" s="3"/>
      <c r="L41" s="3"/>
      <c r="M41" s="3"/>
      <c r="N41" s="3"/>
    </row>
  </sheetData>
  <mergeCells count="27">
    <mergeCell ref="B1:C3"/>
    <mergeCell ref="D22:G22"/>
    <mergeCell ref="I22:M22"/>
    <mergeCell ref="O22:R22"/>
    <mergeCell ref="D23:E23"/>
    <mergeCell ref="I23:K23"/>
    <mergeCell ref="O23:R23"/>
    <mergeCell ref="D24:E24"/>
    <mergeCell ref="I24:K24"/>
    <mergeCell ref="O24:R24"/>
    <mergeCell ref="D25:E25"/>
    <mergeCell ref="I25:K25"/>
    <mergeCell ref="O25:R25"/>
    <mergeCell ref="D26:E26"/>
    <mergeCell ref="I26:K26"/>
    <mergeCell ref="O26:R26"/>
    <mergeCell ref="D27:E27"/>
    <mergeCell ref="I27:K27"/>
    <mergeCell ref="O27:R27"/>
    <mergeCell ref="D31:E31"/>
    <mergeCell ref="D28:E28"/>
    <mergeCell ref="I28:K28"/>
    <mergeCell ref="O28:R28"/>
    <mergeCell ref="D29:E29"/>
    <mergeCell ref="I29:K29"/>
    <mergeCell ref="D30:E30"/>
    <mergeCell ref="I30:K30"/>
  </mergeCells>
  <phoneticPr fontId="16" type="noConversion"/>
  <conditionalFormatting sqref="D18:R18">
    <cfRule type="cellIs" dxfId="58" priority="11" operator="lessThan">
      <formula>$G24</formula>
    </cfRule>
  </conditionalFormatting>
  <conditionalFormatting sqref="D5:R11">
    <cfRule type="expression" dxfId="57" priority="10">
      <formula>D$4=FALSE</formula>
    </cfRule>
  </conditionalFormatting>
  <conditionalFormatting sqref="M29">
    <cfRule type="cellIs" dxfId="56" priority="8" operator="equal">
      <formula>"未起控"</formula>
    </cfRule>
    <cfRule type="cellIs" dxfId="55" priority="9" operator="equal">
      <formula>"起控"</formula>
    </cfRule>
  </conditionalFormatting>
  <conditionalFormatting sqref="D12:R20">
    <cfRule type="expression" dxfId="54" priority="3">
      <formula>D$4=FALSE</formula>
    </cfRule>
  </conditionalFormatting>
  <conditionalFormatting sqref="D4:I4 K4:R4">
    <cfRule type="cellIs" dxfId="53" priority="6" operator="equal">
      <formula>FALSE</formula>
    </cfRule>
    <cfRule type="cellIs" dxfId="52" priority="7" operator="equal">
      <formula>TRUE</formula>
    </cfRule>
  </conditionalFormatting>
  <conditionalFormatting sqref="J4">
    <cfRule type="cellIs" dxfId="51" priority="4" operator="equal">
      <formula>FALSE</formula>
    </cfRule>
    <cfRule type="cellIs" dxfId="50" priority="5" operator="equal">
      <formula>TRUE</formula>
    </cfRule>
  </conditionalFormatting>
  <conditionalFormatting sqref="N13">
    <cfRule type="expression" dxfId="49" priority="1" stopIfTrue="1">
      <formula>$H$24&lt;0</formula>
    </cfRule>
    <cfRule type="expression" dxfId="48" priority="2">
      <formula>$H$24&gt;0</formula>
    </cfRule>
  </conditionalFormatting>
  <dataValidations count="2">
    <dataValidation type="list" allowBlank="1" showInputMessage="1" showErrorMessage="1" sqref="D7">
      <formula1>"704-960,1710-2170,2300-2690,"</formula1>
    </dataValidation>
    <dataValidation type="list" allowBlank="1" showInputMessage="1" showErrorMessage="1" sqref="E7">
      <formula1>"925-960,"</formula1>
    </dataValidation>
  </dataValidations>
  <pageMargins left="0.7" right="0.7" top="0.75" bottom="0.75" header="0.3" footer="0.3"/>
  <pageSetup paperSize="9" scale="49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89145" r:id="rId4" name="交换">
          <controlPr autoLine="0" r:id="rId5">
            <anchor moveWithCells="1">
              <from>
                <xdr:col>0</xdr:col>
                <xdr:colOff>66675</xdr:colOff>
                <xdr:row>2</xdr:row>
                <xdr:rowOff>200025</xdr:rowOff>
              </from>
              <to>
                <xdr:col>1</xdr:col>
                <xdr:colOff>0</xdr:colOff>
                <xdr:row>4</xdr:row>
                <xdr:rowOff>57150</xdr:rowOff>
              </to>
            </anchor>
          </controlPr>
        </control>
      </mc:Choice>
      <mc:Fallback>
        <control shapeId="89145" r:id="rId4" name="交换"/>
      </mc:Fallback>
    </mc:AlternateContent>
    <mc:AlternateContent xmlns:mc="http://schemas.openxmlformats.org/markup-compatibility/2006">
      <mc:Choice Requires="x14">
        <control shapeId="89146" r:id="rId6" name="stage2">
          <controlPr autoLine="0" r:id="rId7">
            <anchor moveWithCells="1">
              <from>
                <xdr:col>0</xdr:col>
                <xdr:colOff>66675</xdr:colOff>
                <xdr:row>5</xdr:row>
                <xdr:rowOff>104775</xdr:rowOff>
              </from>
              <to>
                <xdr:col>1</xdr:col>
                <xdr:colOff>0</xdr:colOff>
                <xdr:row>6</xdr:row>
                <xdr:rowOff>142875</xdr:rowOff>
              </to>
            </anchor>
          </controlPr>
        </control>
      </mc:Choice>
      <mc:Fallback>
        <control shapeId="89146" r:id="rId6" name="stage2"/>
      </mc:Fallback>
    </mc:AlternateContent>
    <mc:AlternateContent xmlns:mc="http://schemas.openxmlformats.org/markup-compatibility/2006">
      <mc:Choice Requires="x14">
        <control shapeId="89147" r:id="rId8" name="stage_num_set">
          <controlPr autoLine="0" r:id="rId9">
            <anchor moveWithCells="1">
              <from>
                <xdr:col>0</xdr:col>
                <xdr:colOff>66675</xdr:colOff>
                <xdr:row>8</xdr:row>
                <xdr:rowOff>38100</xdr:rowOff>
              </from>
              <to>
                <xdr:col>1</xdr:col>
                <xdr:colOff>0</xdr:colOff>
                <xdr:row>9</xdr:row>
                <xdr:rowOff>114300</xdr:rowOff>
              </to>
            </anchor>
          </controlPr>
        </control>
      </mc:Choice>
      <mc:Fallback>
        <control shapeId="89147" r:id="rId8" name="stage_num_set"/>
      </mc:Fallback>
    </mc:AlternateContent>
    <mc:AlternateContent xmlns:mc="http://schemas.openxmlformats.org/markup-compatibility/2006">
      <mc:Choice Requires="x14">
        <control shapeId="89148" r:id="rId10" name="stage_num">
          <controlPr autoLine="0" r:id="rId11">
            <anchor moveWithCells="1">
              <from>
                <xdr:col>0</xdr:col>
                <xdr:colOff>66675</xdr:colOff>
                <xdr:row>9</xdr:row>
                <xdr:rowOff>114300</xdr:rowOff>
              </from>
              <to>
                <xdr:col>1</xdr:col>
                <xdr:colOff>0</xdr:colOff>
                <xdr:row>10</xdr:row>
                <xdr:rowOff>152400</xdr:rowOff>
              </to>
            </anchor>
          </controlPr>
        </control>
      </mc:Choice>
      <mc:Fallback>
        <control shapeId="89148" r:id="rId10" name="stage_num"/>
      </mc:Fallback>
    </mc:AlternateContent>
    <mc:AlternateContent xmlns:mc="http://schemas.openxmlformats.org/markup-compatibility/2006">
      <mc:Choice Requires="x14">
        <control shapeId="89149" r:id="rId12" name="stage1">
          <controlPr autoLine="0" r:id="rId13">
            <anchor moveWithCells="1">
              <from>
                <xdr:col>0</xdr:col>
                <xdr:colOff>66675</xdr:colOff>
                <xdr:row>4</xdr:row>
                <xdr:rowOff>57150</xdr:rowOff>
              </from>
              <to>
                <xdr:col>1</xdr:col>
                <xdr:colOff>0</xdr:colOff>
                <xdr:row>5</xdr:row>
                <xdr:rowOff>104775</xdr:rowOff>
              </to>
            </anchor>
          </controlPr>
        </control>
      </mc:Choice>
      <mc:Fallback>
        <control shapeId="89149" r:id="rId12" name="stage1"/>
      </mc:Fallback>
    </mc:AlternateContent>
    <mc:AlternateContent xmlns:mc="http://schemas.openxmlformats.org/markup-compatibility/2006">
      <mc:Choice Requires="x14">
        <control shapeId="89089" r:id="rId14" name="Check Box 1">
          <controlPr defaultSize="0" autoFill="0" autoLine="0" autoPict="0" macro="[0]!复选框10_Click" altText="启用">
            <anchor moveWithCells="1">
              <from>
                <xdr:col>4</xdr:col>
                <xdr:colOff>152400</xdr:colOff>
                <xdr:row>2</xdr:row>
                <xdr:rowOff>200025</xdr:rowOff>
              </from>
              <to>
                <xdr:col>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090" r:id="rId15" name="Check Box 2">
          <controlPr defaultSize="0" autoFill="0" autoLine="0" autoPict="0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091" r:id="rId16" name="Check Box 3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092" r:id="rId17" name="Check Box 4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093" r:id="rId18" name="Check Box 5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094" r:id="rId19" name="Check Box 6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095" r:id="rId20" name="Check Box 7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096" r:id="rId21" name="Check Box 8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097" r:id="rId22" name="Check Box 9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098" r:id="rId23" name="Check Box 10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099" r:id="rId24" name="Check Box 11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00" r:id="rId25" name="Check Box 12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01" r:id="rId26" name="Check Box 13">
          <controlPr defaultSize="0" autoFill="0" autoLine="0" autoPict="0" altText="启用">
            <anchor moveWithCells="1">
              <from>
                <xdr:col>4</xdr:col>
                <xdr:colOff>152400</xdr:colOff>
                <xdr:row>2</xdr:row>
                <xdr:rowOff>200025</xdr:rowOff>
              </from>
              <to>
                <xdr:col>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02" r:id="rId27" name="Check Box 14">
          <controlPr defaultSize="0" autoFill="0" autoLine="0" autoPict="0" macro="[0]!复选框10_Click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03" r:id="rId28" name="Check Box 15">
          <controlPr defaultSize="0" autoFill="0" autoLine="0" autoPict="0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04" r:id="rId29" name="Check Box 16">
          <controlPr defaultSize="0" autoFill="0" autoLine="0" autoPict="0" macro="[0]!复选框10_Click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05" r:id="rId30" name="Check Box 17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06" r:id="rId31" name="Check Box 18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07" r:id="rId32" name="Check Box 19">
          <controlPr defaultSize="0" autoFill="0" autoLine="0" autoPict="0" macro="[0]!复选框10_Click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08" r:id="rId33" name="Check Box 20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09" r:id="rId34" name="Check Box 21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10" r:id="rId35" name="Check Box 22">
          <controlPr defaultSize="0" autoFill="0" autoLine="0" autoPict="0" macro="[0]!复选框10_Click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11" r:id="rId36" name="Check Box 23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12" r:id="rId37" name="Check Box 24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13" r:id="rId38" name="Check Box 25">
          <controlPr defaultSize="0" autoFill="0" autoLine="0" autoPict="0" macro="[0]!复选框10_Click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14" r:id="rId39" name="Check Box 26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15" r:id="rId40" name="Check Box 27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16" r:id="rId41" name="Check Box 28">
          <controlPr defaultSize="0" autoFill="0" autoLine="0" autoPict="0" macro="[0]!复选框10_Click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17" r:id="rId42" name="Check Box 29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18" r:id="rId43" name="Check Box 30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19" r:id="rId44" name="Check Box 31">
          <controlPr defaultSize="0" autoFill="0" autoLine="0" autoPict="0" macro="[0]!复选框10_Click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20" r:id="rId45" name="Check Box 32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21" r:id="rId46" name="Check Box 33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22" r:id="rId47" name="Check Box 34">
          <controlPr defaultSize="0" autoFill="0" autoLine="0" autoPict="0" macro="[0]!复选框10_Click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23" r:id="rId48" name="Check Box 35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24" r:id="rId49" name="Check Box 36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25" r:id="rId50" name="Check Box 37">
          <controlPr defaultSize="0" autoFill="0" autoLine="0" autoPict="0" macro="[0]!复选框10_Click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26" r:id="rId51" name="Check Box 38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27" r:id="rId52" name="Check Box 39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28" r:id="rId53" name="Check Box 40">
          <controlPr defaultSize="0" autoFill="0" autoLine="0" autoPict="0" macro="[0]!复选框10_Click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29" r:id="rId54" name="Check Box 41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30" r:id="rId55" name="Check Box 42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31" r:id="rId56" name="Check Box 43">
          <controlPr defaultSize="0" autoFill="0" autoLine="0" autoPict="0" macro="[0]!复选框10_Click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32" r:id="rId57" name="Check Box 44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33" r:id="rId58" name="Check Box 45">
          <controlPr defaultSize="0" autoFill="0" autoLine="0" autoPict="0" altText="启用">
            <anchor moveWithCells="1">
              <from>
                <xdr:col>3</xdr:col>
                <xdr:colOff>152400</xdr:colOff>
                <xdr:row>2</xdr:row>
                <xdr:rowOff>200025</xdr:rowOff>
              </from>
              <to>
                <xdr:col>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34" r:id="rId59" name="Check Box 46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35" r:id="rId60" name="Check Box 47">
          <controlPr defaultSize="0" autoFill="0" autoLine="0" autoPict="0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36" r:id="rId61" name="Check Box 48">
          <controlPr defaultSize="0" autoFill="0" autoLine="0" autoPict="0" macro="[0]!复选框10_Click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37" r:id="rId62" name="Check Box 49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38" r:id="rId63" name="Check Box 50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39" r:id="rId64" name="Check Box 51">
          <controlPr defaultSize="0" autoFill="0" autoLine="0" autoPict="0" macro="[0]!复选框10_Click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40" r:id="rId65" name="Check Box 52">
          <controlPr defaultSize="0" autoFill="0" autoLine="0" autoPict="0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41" r:id="rId66" name="Check Box 53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42" r:id="rId67" name="Check Box 54">
          <controlPr defaultSize="0" autoFill="0" autoLine="0" autoPict="0" macro="[0]!复选框10_Click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43" r:id="rId68" name="Check Box 55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9144" r:id="rId69" name="Check Box 56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Y39"/>
  <sheetViews>
    <sheetView showGridLines="0" zoomScale="106" zoomScaleNormal="106" workbookViewId="0">
      <pane xSplit="3" topLeftCell="D1" activePane="topRight" state="frozen"/>
      <selection pane="topRight" activeCell="G6" sqref="G6"/>
    </sheetView>
  </sheetViews>
  <sheetFormatPr defaultRowHeight="16.5" x14ac:dyDescent="0.15"/>
  <cols>
    <col min="1" max="1" width="9" style="2"/>
    <col min="2" max="2" width="16.75" style="2" customWidth="1"/>
    <col min="3" max="3" width="6" style="2" bestFit="1" customWidth="1"/>
    <col min="4" max="4" width="19.375" style="2" customWidth="1"/>
    <col min="5" max="5" width="23.5" style="2" bestFit="1" customWidth="1"/>
    <col min="6" max="6" width="20.125" style="2" bestFit="1" customWidth="1"/>
    <col min="7" max="7" width="22.5" style="2" customWidth="1"/>
    <col min="8" max="18" width="12.625" style="2" customWidth="1"/>
    <col min="19" max="16384" width="9" style="2"/>
  </cols>
  <sheetData>
    <row r="1" spans="1:25" ht="45.75" customHeight="1" x14ac:dyDescent="0.15">
      <c r="A1" s="6"/>
      <c r="B1" s="63" t="s">
        <v>61</v>
      </c>
      <c r="C1" s="63"/>
      <c r="D1" s="6"/>
      <c r="E1" s="44"/>
      <c r="F1" s="44"/>
      <c r="G1" s="44"/>
      <c r="H1" s="44"/>
      <c r="I1" s="44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</row>
    <row r="2" spans="1:25" ht="16.5" customHeight="1" x14ac:dyDescent="0.15">
      <c r="A2" s="44"/>
      <c r="B2" s="63"/>
      <c r="C2" s="63"/>
      <c r="D2" s="6">
        <f>数据源!J5</f>
        <v>0</v>
      </c>
      <c r="E2" s="6"/>
      <c r="F2" s="6"/>
      <c r="G2" s="6"/>
      <c r="H2" s="44"/>
      <c r="I2" s="44"/>
      <c r="J2" s="44"/>
      <c r="K2" s="44"/>
      <c r="L2" s="6"/>
      <c r="M2" s="6"/>
      <c r="N2" s="6"/>
      <c r="O2" s="6"/>
      <c r="P2" s="6"/>
      <c r="Q2" s="6"/>
      <c r="R2" s="6"/>
      <c r="S2" s="6"/>
      <c r="T2" s="6"/>
      <c r="U2" s="6"/>
      <c r="V2" s="6"/>
    </row>
    <row r="3" spans="1:25" ht="16.5" customHeight="1" x14ac:dyDescent="0.15">
      <c r="A3" s="44"/>
      <c r="B3" s="64"/>
      <c r="C3" s="64"/>
      <c r="D3" s="25">
        <v>1</v>
      </c>
      <c r="E3" s="25">
        <v>2</v>
      </c>
      <c r="F3" s="25">
        <v>3</v>
      </c>
      <c r="G3" s="25">
        <v>4</v>
      </c>
      <c r="H3" s="25">
        <v>5</v>
      </c>
      <c r="I3" s="25">
        <v>6</v>
      </c>
      <c r="J3" s="25">
        <v>7</v>
      </c>
      <c r="K3" s="25">
        <v>8</v>
      </c>
      <c r="L3" s="25">
        <v>9</v>
      </c>
      <c r="M3" s="25">
        <v>10</v>
      </c>
      <c r="N3" s="25">
        <v>11</v>
      </c>
      <c r="O3" s="25">
        <v>12</v>
      </c>
      <c r="P3" s="25">
        <v>13</v>
      </c>
      <c r="Q3" s="25">
        <v>14</v>
      </c>
      <c r="R3" s="25">
        <v>15</v>
      </c>
      <c r="S3" s="6"/>
      <c r="T3" s="6"/>
      <c r="U3" s="6"/>
      <c r="V3" s="44"/>
      <c r="W3" s="44"/>
      <c r="X3" s="44"/>
      <c r="Y3" s="44"/>
    </row>
    <row r="4" spans="1:25" x14ac:dyDescent="0.15">
      <c r="A4" s="44"/>
      <c r="B4" s="25"/>
      <c r="C4" s="28" t="b">
        <v>1</v>
      </c>
      <c r="D4" s="23" t="b">
        <v>1</v>
      </c>
      <c r="E4" s="24" t="b">
        <v>1</v>
      </c>
      <c r="F4" s="24" t="b">
        <v>1</v>
      </c>
      <c r="G4" s="24" t="b">
        <v>1</v>
      </c>
      <c r="H4" s="24" t="b">
        <v>0</v>
      </c>
      <c r="I4" s="24" t="b">
        <v>0</v>
      </c>
      <c r="J4" s="24" t="b">
        <v>0</v>
      </c>
      <c r="K4" s="24" t="b">
        <v>0</v>
      </c>
      <c r="L4" s="24" t="b">
        <v>0</v>
      </c>
      <c r="M4" s="24" t="b">
        <v>0</v>
      </c>
      <c r="N4" s="24" t="b">
        <v>0</v>
      </c>
      <c r="O4" s="24" t="b">
        <v>0</v>
      </c>
      <c r="P4" s="24" t="b">
        <v>0</v>
      </c>
      <c r="Q4" s="24" t="b">
        <v>0</v>
      </c>
      <c r="R4" s="24" t="b">
        <v>0</v>
      </c>
      <c r="S4" s="44"/>
      <c r="T4" s="44"/>
      <c r="U4" s="44"/>
      <c r="V4" s="44"/>
      <c r="W4" s="44"/>
      <c r="X4" s="44"/>
      <c r="Y4" s="44"/>
    </row>
    <row r="5" spans="1:25" s="4" customFormat="1" x14ac:dyDescent="0.15">
      <c r="A5" s="44"/>
      <c r="B5" s="25" t="s">
        <v>24</v>
      </c>
      <c r="C5" s="26"/>
      <c r="D5" s="21" t="s">
        <v>80</v>
      </c>
      <c r="E5" s="21" t="s">
        <v>74</v>
      </c>
      <c r="F5" s="21" t="s">
        <v>101</v>
      </c>
      <c r="G5" s="21" t="s">
        <v>109</v>
      </c>
      <c r="H5" s="21" t="s">
        <v>99</v>
      </c>
      <c r="I5" s="21" t="s">
        <v>109</v>
      </c>
      <c r="J5" s="21" t="s">
        <v>112</v>
      </c>
      <c r="K5" s="21" t="s">
        <v>77</v>
      </c>
      <c r="L5" s="21" t="s">
        <v>29</v>
      </c>
      <c r="M5" s="21" t="s">
        <v>30</v>
      </c>
      <c r="N5" s="21" t="s">
        <v>30</v>
      </c>
      <c r="O5" s="21" t="s">
        <v>63</v>
      </c>
      <c r="P5" s="21" t="s">
        <v>31</v>
      </c>
      <c r="Q5" s="21" t="s">
        <v>29</v>
      </c>
      <c r="R5" s="21" t="s">
        <v>29</v>
      </c>
      <c r="S5" s="44"/>
      <c r="T5" s="44"/>
      <c r="U5" s="44"/>
      <c r="V5" s="44"/>
      <c r="W5" s="44"/>
      <c r="X5" s="44"/>
      <c r="Y5" s="44"/>
    </row>
    <row r="6" spans="1:25" s="4" customFormat="1" ht="21.75" customHeight="1" x14ac:dyDescent="0.15">
      <c r="A6" s="44"/>
      <c r="B6" s="27" t="s">
        <v>0</v>
      </c>
      <c r="C6" s="26"/>
      <c r="D6" s="45" t="s">
        <v>120</v>
      </c>
      <c r="E6" s="45" t="s">
        <v>128</v>
      </c>
      <c r="F6" s="45" t="s">
        <v>98</v>
      </c>
      <c r="G6" s="45" t="s">
        <v>119</v>
      </c>
      <c r="H6" s="45" t="s">
        <v>100</v>
      </c>
      <c r="I6" s="45" t="s">
        <v>110</v>
      </c>
      <c r="J6" s="45" t="s">
        <v>113</v>
      </c>
      <c r="K6" s="45" t="s">
        <v>78</v>
      </c>
      <c r="L6" s="45" t="s">
        <v>65</v>
      </c>
      <c r="M6" s="45" t="s">
        <v>69</v>
      </c>
      <c r="N6" s="45" t="s">
        <v>66</v>
      </c>
      <c r="O6" s="45" t="s">
        <v>67</v>
      </c>
      <c r="P6" s="45" t="s">
        <v>53</v>
      </c>
      <c r="Q6" s="45" t="s">
        <v>59</v>
      </c>
      <c r="R6" s="45" t="s">
        <v>56</v>
      </c>
      <c r="S6" s="44"/>
      <c r="T6" s="44"/>
      <c r="U6" s="44"/>
      <c r="V6" s="44"/>
      <c r="W6" s="44"/>
      <c r="X6" s="44"/>
      <c r="Y6" s="44"/>
    </row>
    <row r="7" spans="1:25" s="4" customFormat="1" ht="17.25" thickBot="1" x14ac:dyDescent="0.2">
      <c r="A7" s="44"/>
      <c r="B7" s="27" t="s">
        <v>57</v>
      </c>
      <c r="C7" s="28" t="s">
        <v>25</v>
      </c>
      <c r="D7" s="42" t="s">
        <v>121</v>
      </c>
      <c r="E7" s="42" t="s">
        <v>127</v>
      </c>
      <c r="F7" s="42" t="s">
        <v>117</v>
      </c>
      <c r="G7" s="42" t="s">
        <v>91</v>
      </c>
      <c r="H7" s="42" t="s">
        <v>72</v>
      </c>
      <c r="I7" s="42" t="s">
        <v>111</v>
      </c>
      <c r="J7" s="42" t="s">
        <v>114</v>
      </c>
      <c r="K7" s="42" t="s">
        <v>92</v>
      </c>
      <c r="L7" s="42" t="s">
        <v>54</v>
      </c>
      <c r="M7" s="42" t="s">
        <v>64</v>
      </c>
      <c r="N7" s="42" t="s">
        <v>64</v>
      </c>
      <c r="O7" s="42" t="s">
        <v>62</v>
      </c>
      <c r="P7" s="42" t="s">
        <v>62</v>
      </c>
      <c r="Q7" s="42" t="s">
        <v>54</v>
      </c>
      <c r="R7" s="42" t="s">
        <v>54</v>
      </c>
      <c r="S7" s="44"/>
      <c r="T7" s="44"/>
      <c r="U7" s="44"/>
      <c r="V7" s="44"/>
      <c r="W7" s="44"/>
      <c r="X7" s="44"/>
      <c r="Y7" s="44"/>
    </row>
    <row r="8" spans="1:25" ht="17.25" thickTop="1" x14ac:dyDescent="0.15">
      <c r="A8" s="44"/>
      <c r="B8" s="25" t="s">
        <v>58</v>
      </c>
      <c r="C8" s="26" t="s">
        <v>1</v>
      </c>
      <c r="D8" s="15">
        <f>LOOKUP(1,0/((数据源!$A$2:$A$160=D5)*(数据源!$B$2:$B$160=D6)*(数据源!$C$2:$C$160=D7)),数据源!$D$2:$D$160)</f>
        <v>-0.8</v>
      </c>
      <c r="E8" s="15">
        <f>LOOKUP(1,0/((数据源!$A$2:$A$160=E5)*(数据源!$B$2:$B$160=E6)*(数据源!$C$2:$C$160=E7)),数据源!$D$2:$D$160)</f>
        <v>-2.7</v>
      </c>
      <c r="F8" s="15">
        <f>LOOKUP(1,0/((数据源!$A$2:$A$160=F5)*(数据源!$B$2:$B$160=F6)*(数据源!$C$2:$C$160=F7)),数据源!$D$2:$D$160)</f>
        <v>-0.5</v>
      </c>
      <c r="G8" s="15">
        <f>LOOKUP(1,0/((数据源!$A$2:$A$160=G5)*(数据源!$B$2:$B$160=G6)*(数据源!$C$2:$C$160=G7)),数据源!$D$2:$D$160)</f>
        <v>56</v>
      </c>
      <c r="H8" s="15">
        <f>LOOKUP(1,0/((数据源!$A$2:$A$160=H5)*(数据源!$B$2:$B$160=H6)*(数据源!$C$2:$C$160=H7)),数据源!$D$2:$D$160)</f>
        <v>15</v>
      </c>
      <c r="I8" s="15">
        <f>LOOKUP(1,0/((数据源!$A$2:$A$160=I5)*(数据源!$B$2:$B$160=I6)*(数据源!$C$2:$C$160=I7)),数据源!$D$2:$D$160)</f>
        <v>56</v>
      </c>
      <c r="J8" s="15">
        <f>LOOKUP(1,0/((数据源!$A$2:$A$160=J5)*(数据源!$B$2:$B$160=J6)*(数据源!$C$2:$C$160=J7)),数据源!$D$2:$D$160)</f>
        <v>-0.7</v>
      </c>
      <c r="K8" s="15">
        <f>LOOKUP(1,0/((数据源!$A$2:$A$160=K5)*(数据源!$B$2:$B$160=K6)*(数据源!$C$2:$C$160=K7)),数据源!$D$2:$D$160)</f>
        <v>56</v>
      </c>
      <c r="L8" s="15">
        <f>LOOKUP(1,0/((数据源!$A$2:$A$160=L5)*(数据源!$B$2:$B$160=L6)*(数据源!$C$2:$C$160=L7)),数据源!$D$2:$D$160)</f>
        <v>-2</v>
      </c>
      <c r="M8" s="15" t="e">
        <f>LOOKUP(1,0/((数据源!$A$2:$A$160=M5)*(数据源!$B$2:$B$160=M6)*(数据源!$C$2:$C$160=M7)),数据源!$D$2:$D$160)</f>
        <v>#N/A</v>
      </c>
      <c r="N8" s="15" t="e">
        <f>LOOKUP(1,0/((数据源!$A$2:$A$160=N5)*(数据源!$B$2:$B$160=N6)*(数据源!$C$2:$C$160=N7)),数据源!$D$2:$D$160)</f>
        <v>#N/A</v>
      </c>
      <c r="O8" s="15" t="e">
        <f>LOOKUP(1,0/((数据源!$A$2:$A$160=O5)*(数据源!$B$2:$B$160=O6)*(数据源!$C$2:$C$160=O7)),数据源!$D$2:$D$160)</f>
        <v>#N/A</v>
      </c>
      <c r="P8" s="15" t="e">
        <f>LOOKUP(1,0/((数据源!$A$2:$A$160=P5)*(数据源!$B$2:$B$160=P6)*(数据源!$C$2:$C$160=P7)),数据源!$D$2:$D$160)</f>
        <v>#N/A</v>
      </c>
      <c r="Q8" s="15">
        <f>LOOKUP(1,0/((数据源!$A$2:$A$160=Q5)*(数据源!$B$2:$B$160=Q6)*(数据源!$C$2:$C$160=Q7)),数据源!$D$2:$D$160)</f>
        <v>-5</v>
      </c>
      <c r="R8" s="15">
        <f>LOOKUP(1,0/((数据源!$A$2:$A$160=R5)*(数据源!$B$2:$B$160=R6)*(数据源!$C$2:$C$160=R7)),数据源!$D$2:$D$160)</f>
        <v>-8</v>
      </c>
      <c r="S8" s="44"/>
      <c r="T8" s="44"/>
      <c r="U8" s="44"/>
      <c r="V8" s="44"/>
      <c r="W8" s="44"/>
      <c r="X8" s="44"/>
      <c r="Y8" s="44"/>
    </row>
    <row r="9" spans="1:25" x14ac:dyDescent="0.15">
      <c r="A9" s="44"/>
      <c r="B9" s="25" t="s">
        <v>2</v>
      </c>
      <c r="C9" s="26" t="s">
        <v>1</v>
      </c>
      <c r="D9" s="12">
        <f>LOOKUP(1,0/((数据源!$A$2:$A$160=D5)*(数据源!$B$2:$B$160=D6)*(数据源!$C$2:$C$160=D7)),数据源!$E$2:$E$160)</f>
        <v>0.8</v>
      </c>
      <c r="E9" s="12">
        <f>LOOKUP(1,0/((数据源!$A$2:$A$160=E5)*(数据源!$B$2:$B$160=E6)*(数据源!$C$2:$C$160=E7)),数据源!$E$2:$E$160)</f>
        <v>2.7</v>
      </c>
      <c r="F9" s="12">
        <f>LOOKUP(1,0/((数据源!$A$2:$A$160=F5)*(数据源!$B$2:$B$160=F6)*(数据源!$C$2:$C$160=F7)),数据源!$E$2:$E$160)</f>
        <v>0.5</v>
      </c>
      <c r="G9" s="12">
        <f>LOOKUP(1,0/((数据源!$A$2:$A$160=G5)*(数据源!$B$2:$B$160=G6)*(数据源!$C$2:$C$160=G7)),数据源!$E$2:$E$160)</f>
        <v>2.2999999999999998</v>
      </c>
      <c r="H9" s="12">
        <f>LOOKUP(1,0/((数据源!$A$2:$A$160=H5)*(数据源!$B$2:$B$160=H6)*(数据源!$C$2:$C$160=H7)),数据源!$E$2:$E$160)</f>
        <v>0.7</v>
      </c>
      <c r="I9" s="12">
        <f>LOOKUP(1,0/((数据源!$A$2:$A$160=I5)*(数据源!$B$2:$B$160=I6)*(数据源!$C$2:$C$160=I7)),数据源!$E$2:$E$160)</f>
        <v>2.7</v>
      </c>
      <c r="J9" s="12">
        <f>LOOKUP(1,0/((数据源!$A$2:$A$160=J5)*(数据源!$B$2:$B$160=J6)*(数据源!$C$2:$C$160=J7)),数据源!$E$2:$E$160)</f>
        <v>0.7</v>
      </c>
      <c r="K9" s="12">
        <f>LOOKUP(1,0/((数据源!$A$2:$A$160=K5)*(数据源!$B$2:$B$160=K6)*(数据源!$C$2:$C$160=K7)),数据源!$E$2:$E$160)</f>
        <v>2.7</v>
      </c>
      <c r="L9" s="12">
        <f>LOOKUP(1,0/((数据源!$A$2:$A$160=L5)*(数据源!$B$2:$B$160=L6)*(数据源!$C$2:$C$160=L7)),数据源!$E$2:$E$160)</f>
        <v>2</v>
      </c>
      <c r="M9" s="12" t="e">
        <f>LOOKUP(1,0/((数据源!$A$2:$A$160=M5)*(数据源!$B$2:$B$160=M6)*(数据源!$C$2:$C$160=M7)),数据源!$E$2:$E$160)</f>
        <v>#N/A</v>
      </c>
      <c r="N9" s="12" t="e">
        <f>LOOKUP(1,0/((数据源!$A$2:$A$160=N5)*(数据源!$B$2:$B$160=N6)*(数据源!$C$2:$C$160=N7)),数据源!$E$2:$E$160)</f>
        <v>#N/A</v>
      </c>
      <c r="O9" s="12" t="e">
        <f>LOOKUP(1,0/((数据源!$A$2:$A$160=O5)*(数据源!$B$2:$B$160=O6)*(数据源!$C$2:$C$160=O7)),数据源!$E$2:$E$160)</f>
        <v>#N/A</v>
      </c>
      <c r="P9" s="12" t="e">
        <f>LOOKUP(1,0/((数据源!$A$2:$A$160=P5)*(数据源!$B$2:$B$160=P6)*(数据源!$C$2:$C$160=P7)),数据源!$E$2:$E$160)</f>
        <v>#N/A</v>
      </c>
      <c r="Q9" s="12">
        <f>LOOKUP(1,0/((数据源!$A$2:$A$160=Q5)*(数据源!$B$2:$B$160=Q6)*(数据源!$C$2:$C$160=Q7)),数据源!$E$2:$E$160)</f>
        <v>5</v>
      </c>
      <c r="R9" s="12">
        <f>LOOKUP(1,0/((数据源!$A$2:$A$160=R5)*(数据源!$B$2:$B$160=R6)*(数据源!$C$2:$C$160=R7)),数据源!$E$2:$E$160)</f>
        <v>8</v>
      </c>
      <c r="S9" s="44"/>
      <c r="T9" s="44"/>
      <c r="U9" s="44"/>
      <c r="V9" s="44"/>
      <c r="W9" s="44"/>
      <c r="X9" s="44"/>
      <c r="Y9" s="44"/>
    </row>
    <row r="10" spans="1:25" x14ac:dyDescent="0.15">
      <c r="A10" s="44"/>
      <c r="B10" s="25" t="s">
        <v>55</v>
      </c>
      <c r="C10" s="26" t="s">
        <v>3</v>
      </c>
      <c r="D10" s="12">
        <f>LOOKUP(1,0/((数据源!$A$2:$A$160=D5)*(数据源!$B$2:$B$160=D6)*(数据源!$C$2:$C$160=D7)),数据源!$F$2:$F$160)</f>
        <v>60</v>
      </c>
      <c r="E10" s="12">
        <f>LOOKUP(1,0/((数据源!$A$2:$A$160=E5)*(数据源!$B$2:$B$160=E6)*(数据源!$C$2:$C$160=E7)),数据源!$F$2:$F$160)</f>
        <v>60</v>
      </c>
      <c r="F10" s="12">
        <f>LOOKUP(1,0/((数据源!$A$2:$A$160=F5)*(数据源!$B$2:$B$160=F6)*(数据源!$C$2:$C$160=F7)),数据源!$F$2:$F$160)</f>
        <v>60</v>
      </c>
      <c r="G10" s="12">
        <f>LOOKUP(1,0/((数据源!$A$2:$A$160=G5)*(数据源!$B$2:$B$160=G6)*(数据源!$C$2:$C$160=G7)),数据源!$F$2:$F$160)</f>
        <v>60</v>
      </c>
      <c r="H10" s="12">
        <f>LOOKUP(1,0/((数据源!$A$2:$A$160=H5)*(数据源!$B$2:$B$160=H6)*(数据源!$C$2:$C$160=H7)),数据源!$F$2:$F$160)</f>
        <v>15</v>
      </c>
      <c r="I10" s="12">
        <f>LOOKUP(1,0/((数据源!$A$2:$A$160=I5)*(数据源!$B$2:$B$160=I6)*(数据源!$C$2:$C$160=I7)),数据源!$F$2:$F$160)</f>
        <v>60</v>
      </c>
      <c r="J10" s="12">
        <f>LOOKUP(1,0/((数据源!$A$2:$A$160=J5)*(数据源!$B$2:$B$160=J6)*(数据源!$C$2:$C$160=J7)),数据源!$F$2:$F$160)</f>
        <v>60</v>
      </c>
      <c r="K10" s="12">
        <f>LOOKUP(1,0/((数据源!$A$2:$A$160=K5)*(数据源!$B$2:$B$160=K6)*(数据源!$C$2:$C$160=K7)),数据源!$F$2:$F$160)</f>
        <v>60</v>
      </c>
      <c r="L10" s="12">
        <f>LOOKUP(1,0/((数据源!$A$2:$A$160=L5)*(数据源!$B$2:$B$160=L6)*(数据源!$C$2:$C$160=L7)),数据源!$F$2:$F$160)</f>
        <v>1000</v>
      </c>
      <c r="M10" s="12" t="e">
        <f>LOOKUP(1,0/((数据源!$A$2:$A$160=M5)*(数据源!$B$2:$B$160=M6)*(数据源!$C$2:$C$160=M7)),数据源!$F$2:$F$160)</f>
        <v>#N/A</v>
      </c>
      <c r="N10" s="12" t="e">
        <f>LOOKUP(1,0/((数据源!$A$2:$A$160=N5)*(数据源!$B$2:$B$160=N6)*(数据源!$C$2:$C$160=N7)),数据源!$F$2:$F$160)</f>
        <v>#N/A</v>
      </c>
      <c r="O10" s="12" t="e">
        <f>LOOKUP(1,0/((数据源!$A$2:$A$160=O5)*(数据源!$B$2:$B$160=O6)*(数据源!$C$2:$C$160=O7)),数据源!$F$2:$F$160)</f>
        <v>#N/A</v>
      </c>
      <c r="P10" s="12" t="e">
        <f>LOOKUP(1,0/((数据源!$A$2:$A$160=P5)*(数据源!$B$2:$B$160=P6)*(数据源!$C$2:$C$160=P7)),数据源!$F$2:$F$160)</f>
        <v>#N/A</v>
      </c>
      <c r="Q10" s="12">
        <f>LOOKUP(1,0/((数据源!$A$2:$A$160=Q5)*(数据源!$B$2:$B$160=Q6)*(数据源!$C$2:$C$160=Q7)),数据源!$F$2:$F$160)</f>
        <v>1000</v>
      </c>
      <c r="R10" s="12">
        <f>LOOKUP(1,0/((数据源!$A$2:$A$160=R5)*(数据源!$B$2:$B$160=R6)*(数据源!$C$2:$C$160=R7)),数据源!$F$2:$F$160)</f>
        <v>1000</v>
      </c>
      <c r="S10" s="44"/>
      <c r="T10" s="44"/>
      <c r="U10" s="44"/>
      <c r="V10" s="44"/>
      <c r="W10" s="44"/>
      <c r="X10" s="44"/>
      <c r="Y10" s="44"/>
    </row>
    <row r="11" spans="1:25" ht="17.25" thickBot="1" x14ac:dyDescent="0.2">
      <c r="A11" s="6"/>
      <c r="B11" s="29" t="s">
        <v>4</v>
      </c>
      <c r="C11" s="30" t="s">
        <v>3</v>
      </c>
      <c r="D11" s="13">
        <f>LOOKUP(1,0/((数据源!$A$2:$A$160=D5)*(数据源!$B$2:$B$160=D6)*(数据源!$C$2:$C$160=D7)),数据源!$G$2:$G$160)</f>
        <v>60</v>
      </c>
      <c r="E11" s="13">
        <f>LOOKUP(1,0/((数据源!$A$2:$A$160=E5)*(数据源!$B$2:$B$160=E6)*(数据源!$C$2:$C$160=E7)),数据源!$G$2:$G$160)</f>
        <v>60</v>
      </c>
      <c r="F11" s="13">
        <f>LOOKUP(1,0/((数据源!$A$2:$A$160=F5)*(数据源!$B$2:$B$160=F6)*(数据源!$C$2:$C$160=F7)),数据源!$G$2:$G$160)</f>
        <v>60</v>
      </c>
      <c r="G11" s="13">
        <f>LOOKUP(1,0/((数据源!$A$2:$A$160=G5)*(数据源!$B$2:$B$160=G6)*(数据源!$C$2:$C$160=G7)),数据源!$G$2:$G$160)</f>
        <v>60</v>
      </c>
      <c r="H11" s="13">
        <f>LOOKUP(1,0/((数据源!$A$2:$A$160=H5)*(数据源!$B$2:$B$160=H6)*(数据源!$C$2:$C$160=H7)),数据源!$G$2:$G$160)</f>
        <v>16</v>
      </c>
      <c r="I11" s="13">
        <f>LOOKUP(1,0/((数据源!$A$2:$A$160=I5)*(数据源!$B$2:$B$160=I6)*(数据源!$C$2:$C$160=I7)),数据源!$G$2:$G$160)</f>
        <v>60</v>
      </c>
      <c r="J11" s="13">
        <f>LOOKUP(1,0/((数据源!$A$2:$A$160=J5)*(数据源!$B$2:$B$160=J6)*(数据源!$C$2:$C$160=J7)),数据源!$G$2:$G$160)</f>
        <v>60</v>
      </c>
      <c r="K11" s="13">
        <f>LOOKUP(1,0/((数据源!$A$2:$A$160=K5)*(数据源!$B$2:$B$160=K6)*(数据源!$C$2:$C$160=K7)),数据源!$G$2:$G$160)</f>
        <v>60</v>
      </c>
      <c r="L11" s="13">
        <f>LOOKUP(1,0/((数据源!$A$2:$A$160=L5)*(数据源!$B$2:$B$160=L6)*(数据源!$C$2:$C$160=L7)),数据源!$G$2:$G$160)</f>
        <v>1000</v>
      </c>
      <c r="M11" s="13" t="e">
        <f>LOOKUP(1,0/((数据源!$A$2:$A$160=M5)*(数据源!$B$2:$B$160=M6)*(数据源!$C$2:$C$160=M7)),数据源!$G$2:$G$160)</f>
        <v>#N/A</v>
      </c>
      <c r="N11" s="13" t="e">
        <f>LOOKUP(1,0/((数据源!$A$2:$A$160=N5)*(数据源!$B$2:$B$160=N6)*(数据源!$C$2:$C$160=N7)),数据源!$G$2:$G$160)</f>
        <v>#N/A</v>
      </c>
      <c r="O11" s="13" t="e">
        <f>LOOKUP(1,0/((数据源!$A$2:$A$160=O5)*(数据源!$B$2:$B$160=O6)*(数据源!$C$2:$C$160=O7)),数据源!$G$2:$G$160)</f>
        <v>#N/A</v>
      </c>
      <c r="P11" s="13" t="e">
        <f>LOOKUP(1,0/((数据源!$A$2:$A$160=P5)*(数据源!$B$2:$B$160=P6)*(数据源!$C$2:$C$160=P7)),数据源!$G$2:$G$160)</f>
        <v>#N/A</v>
      </c>
      <c r="Q11" s="13">
        <f>LOOKUP(1,0/((数据源!$A$2:$A$160=Q5)*(数据源!$B$2:$B$160=Q6)*(数据源!$C$2:$C$160=Q7)),数据源!$G$2:$G$160)</f>
        <v>1000</v>
      </c>
      <c r="R11" s="13">
        <f>LOOKUP(1,0/((数据源!$A$2:$A$160=R5)*(数据源!$B$2:$B$160=R6)*(数据源!$C$2:$C$160=R7)),数据源!$G$2:$G$160)</f>
        <v>1000</v>
      </c>
      <c r="S11" s="44"/>
      <c r="T11" s="44"/>
      <c r="U11" s="44"/>
      <c r="V11" s="44"/>
      <c r="W11" s="44"/>
      <c r="X11" s="44"/>
      <c r="Y11" s="44"/>
    </row>
    <row r="12" spans="1:25" ht="17.25" thickTop="1" x14ac:dyDescent="0.15">
      <c r="A12" s="48">
        <f>M23</f>
        <v>-99.01457471969124</v>
      </c>
      <c r="B12" s="31" t="s">
        <v>5</v>
      </c>
      <c r="C12" s="32" t="s">
        <v>1</v>
      </c>
      <c r="D12" s="14">
        <f>IF(AND(D4&lt;&gt;FALSE,D8&lt;&gt;""),D8,"")</f>
        <v>-0.8</v>
      </c>
      <c r="E12" s="11">
        <f>IF(OR($D$4:E$4)=FALSE,"",IF(E$4=FALSE,D12,IF(OR($D$4:D4)=FALSE,E8,E8+D12)))</f>
        <v>-3.5</v>
      </c>
      <c r="F12" s="11">
        <f>IF(OR($D$4:F$4)=FALSE,"",IF(F$4=FALSE,E12,IF(OR($D$4:E4)=FALSE,F8,F8+E12)))</f>
        <v>-4</v>
      </c>
      <c r="G12" s="11">
        <f>IF(OR($D$4:G$4)=FALSE,"",IF(G$4=FALSE,F12,IF(OR($D$4:F4)=FALSE,G8,G8+F12)))</f>
        <v>52</v>
      </c>
      <c r="H12" s="11">
        <f>IF(OR($D$4:H$4)=FALSE,"",IF(H$4=FALSE,G12,IF(OR($D$4:G4)=FALSE,H8,H8+G12)))</f>
        <v>52</v>
      </c>
      <c r="I12" s="11">
        <f>IF(OR($D$4:I$4)=FALSE,"",IF(I$4=FALSE,H12,IF(OR($D$4:H4)=FALSE,I8,I8+H12)))</f>
        <v>52</v>
      </c>
      <c r="J12" s="11">
        <f>IF(OR($D$4:J$4)=FALSE,"",IF(J$4=FALSE,I12,IF(OR($D$4:I4)=FALSE,J8,J8+I12)))</f>
        <v>52</v>
      </c>
      <c r="K12" s="11">
        <f>IF(OR($D$4:K$4)=FALSE,"",IF(K$4=FALSE,J12,IF(OR($D$4:J4)=FALSE,K8,K8+J12)))</f>
        <v>52</v>
      </c>
      <c r="L12" s="11">
        <f>IF(OR($D$4:L$4)=FALSE,"",IF(L$4=FALSE,K12,IF(OR($D$4:K4)=FALSE,L8,L8+K12)))</f>
        <v>52</v>
      </c>
      <c r="M12" s="11">
        <f>IF(OR($D$4:M$4)=FALSE,"",IF(M$4=FALSE,L12,IF(OR($D$4:L4)=FALSE,M8,M8+L12)))</f>
        <v>52</v>
      </c>
      <c r="N12" s="11">
        <f>IF(OR($D$4:N$4)=FALSE,"",IF(N$4=FALSE,M12,IF(OR($D$4:M4)=FALSE,N8,N8+M12)))</f>
        <v>52</v>
      </c>
      <c r="O12" s="11">
        <f>IF(OR($D$4:O$4)=FALSE,"",IF(O$4=FALSE,N12,IF(OR($D$4:N4)=FALSE,O8,O8+N12)))</f>
        <v>52</v>
      </c>
      <c r="P12" s="11">
        <f>IF(OR($D$4:P$4)=FALSE,"",IF(P$4=FALSE,O12,IF(OR($D$4:O4)=FALSE,P8,P8+O12)))</f>
        <v>52</v>
      </c>
      <c r="Q12" s="11">
        <f>IF(OR($D$4:Q$4)=FALSE,"",IF(Q$4=FALSE,P12,IF(OR($D$4:P4)=FALSE,Q8,Q8+P12)))</f>
        <v>52</v>
      </c>
      <c r="R12" s="11">
        <f>IF(OR($D$4:R$4)=FALSE,"",IF(R$4=FALSE,Q12,IF(OR($D$4:Q4)=FALSE,R8,R8+Q12)))</f>
        <v>52</v>
      </c>
      <c r="S12" s="44"/>
      <c r="T12" s="44"/>
      <c r="U12" s="44"/>
      <c r="V12" s="44"/>
      <c r="W12" s="44"/>
      <c r="X12" s="44"/>
      <c r="Y12" s="44"/>
    </row>
    <row r="13" spans="1:25" x14ac:dyDescent="0.15">
      <c r="A13" s="6"/>
      <c r="B13" s="33" t="s">
        <v>6</v>
      </c>
      <c r="C13" s="34" t="s">
        <v>1</v>
      </c>
      <c r="D13" s="12">
        <f>IF(AND(D4&lt;&gt;FALSE,D9&lt;&gt;""),D9,"")</f>
        <v>0.8</v>
      </c>
      <c r="E13" s="10">
        <f>IF(OR($D$4:E$4)=FALSE,"",IF(E$4=FALSE,D13,IF(OR($D$4:D$4)=FALSE,E9,10*LOG(10^(D13/10)+(10^(E9/10)-1)/10^(D12/10)))))</f>
        <v>3.5000000000000004</v>
      </c>
      <c r="F13" s="10">
        <f>IF(OR($D$4:F$4)=FALSE,"",IF(F$4=FALSE,E13,IF(OR($D$4:E$4)=FALSE,F9,10*LOG(10^(E13/10)+(10^(F9/10)-1)/10^(E12/10)))))</f>
        <v>4.0000000000000009</v>
      </c>
      <c r="G13" s="10">
        <f>IF(OR($D$4:G$4)=FALSE,"",IF(G$4=FALSE,F13,IF(OR($D$4:F$4)=FALSE,G9,10*LOG(10^(F13/10)+(10^(G9/10)-1)/10^(F12/10)))))</f>
        <v>6.3000000000000007</v>
      </c>
      <c r="H13" s="10">
        <f>IF(OR($D$4:H$4)=FALSE,"",IF(H$4=FALSE,G13,IF(OR($D$4:G$4)=FALSE,H9,10*LOG(10^(G13/10)+(10^(H9/10)-1)/10^(G12/10)))))</f>
        <v>6.3000000000000007</v>
      </c>
      <c r="I13" s="10">
        <f>IF(OR($D$4:I$4)=FALSE,"",IF(I$4=FALSE,H13,IF(OR($D$4:H$4)=FALSE,I9,10*LOG(10^(H13/10)+(10^(I9/10)-1)/10^(H12/10)))))</f>
        <v>6.3000000000000007</v>
      </c>
      <c r="J13" s="10">
        <f>IF(OR($D$4:J$4)=FALSE,"",IF(J$4=FALSE,I13,IF(OR($D$4:I$4)=FALSE,J9,10*LOG(10^(I13/10)+(10^(J9/10)-1)/10^(I12/10)))))</f>
        <v>6.3000000000000007</v>
      </c>
      <c r="K13" s="10">
        <f>IF(OR($D$4:K$4)=FALSE,"",IF(K$4=FALSE,J13,IF(OR($D$4:J$4)=FALSE,K9,10*LOG(10^(J13/10)+(10^(K9/10)-1)/10^(J12/10)))))</f>
        <v>6.3000000000000007</v>
      </c>
      <c r="L13" s="10">
        <f>IF(OR($D$4:L$4)=FALSE,"",IF(L$4=FALSE,K13,IF(OR($D$4:K$4)=FALSE,L9,10*LOG(10^(K13/10)+(10^(L9/10)-1)/10^(K12/10)))))</f>
        <v>6.3000000000000007</v>
      </c>
      <c r="M13" s="10">
        <f>IF(OR($D$4:M$4)=FALSE,"",IF(M$4=FALSE,L13,IF(OR($D$4:L$4)=FALSE,M9,10*LOG(10^(L13/10)+(10^(M9/10)-1)/10^(L12/10)))))</f>
        <v>6.3000000000000007</v>
      </c>
      <c r="N13" s="10">
        <f>IF(OR($D$4:N$4)=FALSE,"",IF(N$4=FALSE,M13,IF(OR($D$4:M$4)=FALSE,N9,10*LOG(10^(M13/10)+(10^(N9/10)-1)/10^(M12/10)))))</f>
        <v>6.3000000000000007</v>
      </c>
      <c r="O13" s="10">
        <f>IF(OR($D$4:O$4)=FALSE,"",IF(O$4=FALSE,N13,IF(OR($D$4:N$4)=FALSE,O9,10*LOG(10^(N13/10)+(10^(O9/10)-1)/10^(N12/10)))))</f>
        <v>6.3000000000000007</v>
      </c>
      <c r="P13" s="10">
        <f>IF(OR($D$4:P$4)=FALSE,"",IF(P$4=FALSE,O13,IF(OR($D$4:O$4)=FALSE,P9,10*LOG(10^(O13/10)+(10^(P9/10)-1)/10^(O12/10)))))</f>
        <v>6.3000000000000007</v>
      </c>
      <c r="Q13" s="10">
        <f>IF(OR($D$4:Q$4)=FALSE,"",IF(Q$4=FALSE,P13,IF(OR($D$4:P$4)=FALSE,Q9,10*LOG(10^(P13/10)+(10^(Q9/10)-1)/10^(P12/10)))))</f>
        <v>6.3000000000000007</v>
      </c>
      <c r="R13" s="10">
        <f>IF(OR($D$4:R$4)=FALSE,"",IF(R$4=FALSE,Q13,IF(OR($D$4:Q$4)=FALSE,R9,10*LOG(10^(Q13/10)+(10^(R9/10)-1)/10^(Q12/10)))))</f>
        <v>6.3000000000000007</v>
      </c>
      <c r="S13" s="6"/>
      <c r="T13" s="6"/>
      <c r="U13" s="6"/>
      <c r="V13" s="6"/>
    </row>
    <row r="14" spans="1:25" x14ac:dyDescent="0.15">
      <c r="A14" s="6"/>
      <c r="B14" s="33" t="s">
        <v>7</v>
      </c>
      <c r="C14" s="34" t="s">
        <v>3</v>
      </c>
      <c r="D14" s="12">
        <f>IF(AND(D4&lt;&gt;FALSE,D10&lt;&gt;""),D10,"")</f>
        <v>60</v>
      </c>
      <c r="E14" s="10">
        <f>IF(OR($D$4:E$4)=FALSE,"",IF(E$4=FALSE,D14,IF(OR($D$4:D$4)=FALSE,E10,10*LOG(1/(1/10^(E10/10)+1/(10^(D14/10)*10^(E8/10)))))))</f>
        <v>55.433171482157313</v>
      </c>
      <c r="F14" s="10">
        <f>IF(OR($D$4:F$4)=FALSE,"",IF(F$4=FALSE,E14,IF(OR($D$4:E$4)=FALSE,F10,10*LOG(1/(1/10^(F10/10)+1/(10^(E14/10)*10^(F8/10)))))))</f>
        <v>53.755823155746619</v>
      </c>
      <c r="G14" s="10">
        <f>IF(OR($D$4:G$4)=FALSE,"",IF(G$4=FALSE,F14,IF(OR($D$4:F$4)=FALSE,G10,10*LOG(1/(1/10^(G10/10)+1/(10^(F14/10)*10^(G8/10)))))))</f>
        <v>59.999954059078874</v>
      </c>
      <c r="H14" s="10">
        <f>IF(OR($D$4:H$4)=FALSE,"",IF(H$4=FALSE,G14,IF(OR($D$4:G$4)=FALSE,H10,10*LOG(1/(1/10^(H10/10)+1/(10^(G14/10)*10^(H8/10)))))))</f>
        <v>59.999954059078874</v>
      </c>
      <c r="I14" s="10">
        <f>IF(OR($D$4:I$4)=FALSE,"",IF(I$4=FALSE,H14,IF(OR($D$4:H$4)=FALSE,I10,10*LOG(1/(1/10^(I10/10)+1/(10^(H14/10)*10^(I8/10)))))))</f>
        <v>59.999954059078874</v>
      </c>
      <c r="J14" s="10">
        <f>IF(OR($D$4:J$4)=FALSE,"",IF(J$4=FALSE,I14,IF(OR($D$4:I$4)=FALSE,J10,10*LOG(1/(1/10^(J10/10)+1/(10^(I14/10)*10^(J8/10)))))))</f>
        <v>59.999954059078874</v>
      </c>
      <c r="K14" s="10">
        <f>IF(OR($D$4:K$4)=FALSE,"",IF(K$4=FALSE,J14,IF(OR($D$4:J$4)=FALSE,K10,10*LOG(1/(1/10^(K10/10)+1/(10^(J14/10)*10^(K8/10)))))))</f>
        <v>59.999954059078874</v>
      </c>
      <c r="L14" s="10">
        <f>IF(OR($D$4:L$4)=FALSE,"",IF(L$4=FALSE,K14,IF(OR($D$4:K$4)=FALSE,L10,10*LOG(1/(1/10^(L10/10)+1/(10^(K14/10)*10^(L8/10)))))))</f>
        <v>59.999954059078874</v>
      </c>
      <c r="M14" s="10">
        <f>IF(OR($D$4:M$4)=FALSE,"",IF(M$4=FALSE,L14,IF(OR($D$4:L$4)=FALSE,M10,10*LOG(1/(1/10^(M10/10)+1/(10^(L14/10)*10^(M8/10)))))))</f>
        <v>59.999954059078874</v>
      </c>
      <c r="N14" s="10">
        <f>IF(OR($D$4:N$4)=FALSE,"",IF(N$4=FALSE,M14,IF(OR($D$4:M$4)=FALSE,N10,10*LOG(1/(1/10^(N10/10)+1/(10^(M14/10)*10^(N8/10)))))))</f>
        <v>59.999954059078874</v>
      </c>
      <c r="O14" s="10">
        <f>IF(OR($D$4:O$4)=FALSE,"",IF(O$4=FALSE,N14,IF(OR($D$4:N$4)=FALSE,O10,10*LOG(1/(1/10^(O10/10)+1/(10^(N14/10)*10^(O8/10)))))))</f>
        <v>59.999954059078874</v>
      </c>
      <c r="P14" s="10">
        <f>IF(OR($D$4:P$4)=FALSE,"",IF(P$4=FALSE,O14,IF(OR($D$4:O$4)=FALSE,P10,10*LOG(1/(1/10^(P10/10)+1/(10^(O14/10)*10^(P8/10)))))))</f>
        <v>59.999954059078874</v>
      </c>
      <c r="Q14" s="10">
        <f>IF(OR($D$4:Q$4)=FALSE,"",IF(Q$4=FALSE,P14,IF(OR($D$4:P$4)=FALSE,Q10,10*LOG(1/(1/10^(Q10/10)+1/(10^(P14/10)*10^(Q8/10)))))))</f>
        <v>59.999954059078874</v>
      </c>
      <c r="R14" s="10">
        <f>IF(OR($D$4:R$4)=FALSE,"",IF(R$4=FALSE,Q14,IF(OR($D$4:Q$4)=FALSE,R10,10*LOG(1/(1/10^(R10/10)+1/(10^(Q14/10)*10^(R8/10)))))))</f>
        <v>59.999954059078874</v>
      </c>
      <c r="S14" s="6"/>
      <c r="T14" s="6"/>
      <c r="U14" s="6"/>
      <c r="V14" s="6"/>
    </row>
    <row r="15" spans="1:25" ht="17.25" thickBot="1" x14ac:dyDescent="0.2">
      <c r="A15" s="6"/>
      <c r="B15" s="35" t="s">
        <v>36</v>
      </c>
      <c r="C15" s="36" t="s">
        <v>3</v>
      </c>
      <c r="D15" s="22">
        <f>IF(AND(D4&lt;&gt;FALSE,D11&lt;&gt;""),D11,"")</f>
        <v>60</v>
      </c>
      <c r="E15" s="16">
        <f>IF(OR($D$4:E$4)=FALSE,"",IF(E$4=FALSE,D15,IF(OR($D$4:D$4)=FALSE,E11,10*LOG(1/(1/10^(E11/10)+1/(10^(D15/10)*10^(E8/10)))))))</f>
        <v>55.433171482157313</v>
      </c>
      <c r="F15" s="16">
        <f>IF(OR($D$4:F$4)=FALSE,"",IF(F$4=FALSE,E15,IF(OR($D$4:E$4)=FALSE,F11,10*LOG(1/(1/10^(F11/10)+1/(10^(E15/10)*10^(F8/10)))))))</f>
        <v>53.755823155746619</v>
      </c>
      <c r="G15" s="16">
        <f>IF(OR($D$4:G$4)=FALSE,"",IF(G$4=FALSE,F15,IF(OR($D$4:F$4)=FALSE,G11,10*LOG(1/(1/10^(G11/10)+1/(10^(F15/10)*10^(G8/10)))))))</f>
        <v>59.999954059078874</v>
      </c>
      <c r="H15" s="16">
        <f>IF(OR($D$4:H$4)=FALSE,"",IF(H$4=FALSE,G15,IF(OR($D$4:G$4)=FALSE,H11,10*LOG(1/(1/10^(H11/10)+1/(10^(G15/10)*10^(H8/10)))))))</f>
        <v>59.999954059078874</v>
      </c>
      <c r="I15" s="16">
        <f>IF(OR($D$4:I$4)=FALSE,"",IF(I$4=FALSE,H15,IF(OR($D$4:H$4)=FALSE,I11,10*LOG(1/(1/10^(I11/10)+1/(10^(H15/10)*10^(I8/10)))))))</f>
        <v>59.999954059078874</v>
      </c>
      <c r="J15" s="16">
        <f>IF(OR($D$4:J$4)=FALSE,"",IF(J$4=FALSE,I15,IF(OR($D$4:I$4)=FALSE,J11,10*LOG(1/(1/10^(J11/10)+1/(10^(I15/10)*10^(J8/10)))))))</f>
        <v>59.999954059078874</v>
      </c>
      <c r="K15" s="16">
        <f>IF(OR($D$4:K$4)=FALSE,"",IF(K$4=FALSE,J15,IF(OR($D$4:J$4)=FALSE,K11,10*LOG(1/(1/10^(K11/10)+1/(10^(J15/10)*10^(K8/10)))))))</f>
        <v>59.999954059078874</v>
      </c>
      <c r="L15" s="16">
        <f>IF(OR($D$4:L$4)=FALSE,"",IF(L$4=FALSE,K15,IF(OR($D$4:K$4)=FALSE,L11,10*LOG(1/(1/10^(L11/10)+1/(10^(K15/10)*10^(L8/10)))))))</f>
        <v>59.999954059078874</v>
      </c>
      <c r="M15" s="16">
        <f>IF(OR($D$4:M$4)=FALSE,"",IF(M$4=FALSE,L15,IF(OR($D$4:L$4)=FALSE,M11,10*LOG(1/(1/10^(M11/10)+1/(10^(L15/10)*10^(M8/10)))))))</f>
        <v>59.999954059078874</v>
      </c>
      <c r="N15" s="16">
        <f>IF(OR($D$4:N$4)=FALSE,"",IF(N$4=FALSE,M15,IF(OR($D$4:M$4)=FALSE,N11,10*LOG(1/(1/10^(N11/10)+1/(10^(M15/10)*10^(N8/10)))))))</f>
        <v>59.999954059078874</v>
      </c>
      <c r="O15" s="16">
        <f>IF(OR($D$4:O$4)=FALSE,"",IF(O$4=FALSE,N15,IF(OR($D$4:N$4)=FALSE,O11,10*LOG(1/(1/10^(O11/10)+1/(10^(N15/10)*10^(O8/10)))))))</f>
        <v>59.999954059078874</v>
      </c>
      <c r="P15" s="16">
        <f>IF(OR($D$4:P$4)=FALSE,"",IF(P$4=FALSE,O15,IF(OR($D$4:O$4)=FALSE,P11,10*LOG(1/(1/10^(P11/10)+1/(10^(O15/10)*10^(P8/10)))))))</f>
        <v>59.999954059078874</v>
      </c>
      <c r="Q15" s="16">
        <f>IF(OR($D$4:Q$4)=FALSE,"",IF(Q$4=FALSE,P15,IF(OR($D$4:P$4)=FALSE,Q11,10*LOG(1/(1/10^(Q11/10)+1/(10^(P15/10)*10^(Q8/10)))))))</f>
        <v>59.999954059078874</v>
      </c>
      <c r="R15" s="16">
        <f>IF(OR($D$4:R$4)=FALSE,"",IF(R$4=FALSE,Q15,IF(OR($D$4:Q$4)=FALSE,R11,10*LOG(1/(1/10^(R11/10)+1/(10^(Q15/10)*10^(R8/10)))))))</f>
        <v>59.999954059078874</v>
      </c>
      <c r="S15" s="6"/>
      <c r="T15" s="6"/>
      <c r="U15" s="6"/>
      <c r="V15" s="6"/>
    </row>
    <row r="16" spans="1:25" ht="17.25" thickTop="1" x14ac:dyDescent="0.15">
      <c r="A16" s="6"/>
      <c r="B16" s="37" t="s">
        <v>37</v>
      </c>
      <c r="C16" s="38" t="s">
        <v>3</v>
      </c>
      <c r="D16" s="14">
        <f>IF(AND(D4&lt;&gt;FALSE,G23&lt;&gt;""),G23,"")</f>
        <v>-50</v>
      </c>
      <c r="E16" s="11">
        <f>IF(OR($D$4:E$4)=FALSE,"",IF(E$4=FALSE,D16,IF(OR($D$4:D$4)=FALSE,$G$23,D17)))</f>
        <v>-50.8</v>
      </c>
      <c r="F16" s="11">
        <f>IF(OR($D$4:F$4)=FALSE,"",IF(F$4=FALSE,E16,IF(OR($D$4:E$4)=FALSE,$G$23,E17)))</f>
        <v>-53.5</v>
      </c>
      <c r="G16" s="11">
        <f>IF(OR($D$4:G$4)=FALSE,"",IF(G$4=FALSE,F16,IF(OR($D$4:F$4)=FALSE,$G$23,F17)))</f>
        <v>-54</v>
      </c>
      <c r="H16" s="11">
        <f>IF(OR($D$4:H$4)=FALSE,"",IF(H$4=FALSE,G16,IF(OR($D$4:G$4)=FALSE,$G$23,G17)))</f>
        <v>-54</v>
      </c>
      <c r="I16" s="11">
        <f>IF(OR($D$4:I$4)=FALSE,"",IF(I$4=FALSE,H16,IF(OR($D$4:H$4)=FALSE,$G$23,H17)))</f>
        <v>-54</v>
      </c>
      <c r="J16" s="11">
        <f>IF(OR($D$4:J$4)=FALSE,"",IF(J$4=FALSE,I16,IF(OR($D$4:I$4)=FALSE,$G$23,I17)))</f>
        <v>-54</v>
      </c>
      <c r="K16" s="11">
        <f>IF(OR($D$4:K$4)=FALSE,"",IF(K$4=FALSE,J16,IF(OR($D$4:J$4)=FALSE,$G$23,J17)))</f>
        <v>-54</v>
      </c>
      <c r="L16" s="11">
        <f>IF(OR($D$4:L$4)=FALSE,"",IF(L$4=FALSE,K16,IF(OR($D$4:K$4)=FALSE,$G$23,K17)))</f>
        <v>-54</v>
      </c>
      <c r="M16" s="11">
        <f>IF(OR($D$4:M$4)=FALSE,"",IF(M$4=FALSE,L16,IF(OR($D$4:L$4)=FALSE,$G$23,L17)))</f>
        <v>-54</v>
      </c>
      <c r="N16" s="11">
        <f>IF(OR($D$4:N$4)=FALSE,"",IF(N$4=FALSE,M16,IF(OR($D$4:M$4)=FALSE,$G$23,M17)))</f>
        <v>-54</v>
      </c>
      <c r="O16" s="11">
        <f>IF(OR($D$4:O$4)=FALSE,"",IF(O$4=FALSE,N16,IF(OR($D$4:N$4)=FALSE,$G$23,N17)))</f>
        <v>-54</v>
      </c>
      <c r="P16" s="11">
        <f>IF(OR($D$4:P$4)=FALSE,"",IF(P$4=FALSE,O16,IF(OR($D$4:O$4)=FALSE,$G$23,O17)))</f>
        <v>-54</v>
      </c>
      <c r="Q16" s="11">
        <f>IF(OR($D$4:Q$4)=FALSE,"",IF(Q$4=FALSE,P16,IF(OR($D$4:P$4)=FALSE,$G$23,P17)))</f>
        <v>-54</v>
      </c>
      <c r="R16" s="11">
        <f>IF(OR($D$4:R$4)=FALSE,"",IF(R$4=FALSE,Q16,IF(OR($D$4:Q$4)=FALSE,$G$23,Q17)))</f>
        <v>-54</v>
      </c>
      <c r="S16" s="6"/>
      <c r="T16" s="6"/>
      <c r="U16" s="6"/>
      <c r="V16" s="6"/>
    </row>
    <row r="17" spans="1:22" x14ac:dyDescent="0.15">
      <c r="A17" s="6"/>
      <c r="B17" s="25" t="s">
        <v>8</v>
      </c>
      <c r="C17" s="26" t="s">
        <v>3</v>
      </c>
      <c r="D17" s="12">
        <f>IF(AND(D4&lt;&gt;FALSE,D8&lt;&gt;"",D16&lt;&gt;""),D16+D8,"")</f>
        <v>-50.8</v>
      </c>
      <c r="E17" s="10">
        <f>IF(AND(E4&lt;&gt;FALSE,E16&lt;&gt;"",E16&lt;&gt;""),E8+E16,D17)</f>
        <v>-53.5</v>
      </c>
      <c r="F17" s="10">
        <f t="shared" ref="F17:M17" si="0">IF(AND(F4&lt;&gt;FALSE,F16&lt;&gt;"",F16&lt;&gt;""),F8+F16,E17)</f>
        <v>-54</v>
      </c>
      <c r="G17" s="10">
        <f t="shared" si="0"/>
        <v>2</v>
      </c>
      <c r="H17" s="10">
        <f t="shared" si="0"/>
        <v>2</v>
      </c>
      <c r="I17" s="10">
        <f t="shared" si="0"/>
        <v>2</v>
      </c>
      <c r="J17" s="10">
        <f t="shared" si="0"/>
        <v>2</v>
      </c>
      <c r="K17" s="10">
        <f t="shared" si="0"/>
        <v>2</v>
      </c>
      <c r="L17" s="10">
        <f t="shared" si="0"/>
        <v>2</v>
      </c>
      <c r="M17" s="10">
        <f t="shared" si="0"/>
        <v>2</v>
      </c>
      <c r="N17" s="10">
        <f>IF(AND(N4&lt;&gt;FALSE,N16&lt;&gt;"",N16&lt;&gt;""),N8+N16,M17)</f>
        <v>2</v>
      </c>
      <c r="O17" s="10">
        <f>IF(AND(O4&lt;&gt;FALSE,O16&lt;&gt;"",O16&lt;&gt;""),O8+O16,N17)</f>
        <v>2</v>
      </c>
      <c r="P17" s="10">
        <f>IF(AND(P4&lt;&gt;FALSE,P16&lt;&gt;"",P16&lt;&gt;""),P8+P16,O17)</f>
        <v>2</v>
      </c>
      <c r="Q17" s="10">
        <f>IF(AND(Q4&lt;&gt;FALSE,Q16&lt;&gt;"",Q16&lt;&gt;""),Q8+Q16,P17)</f>
        <v>2</v>
      </c>
      <c r="R17" s="10">
        <f>IF(AND(R4&lt;&gt;FALSE,R16&lt;&gt;"",R16&lt;&gt;""),R8+R16,Q17)</f>
        <v>2</v>
      </c>
      <c r="S17" s="6"/>
      <c r="T17" s="6"/>
      <c r="U17" s="6"/>
      <c r="V17" s="6"/>
    </row>
    <row r="18" spans="1:22" x14ac:dyDescent="0.15">
      <c r="A18" s="6"/>
      <c r="B18" s="27" t="s">
        <v>9</v>
      </c>
      <c r="C18" s="28" t="s">
        <v>1</v>
      </c>
      <c r="D18" s="12">
        <f>IF(AND(D4&lt;&gt;FALSE,D10&lt;&gt;"",D17&lt;&gt;""),D10-D17,"")</f>
        <v>110.8</v>
      </c>
      <c r="E18" s="10">
        <f>IF(AND(E4&lt;&gt;FALSE,E10&lt;&gt;"",E17&lt;&gt;""),E10-E17,D18)</f>
        <v>113.5</v>
      </c>
      <c r="F18" s="10">
        <f t="shared" ref="F18:M18" si="1">IF(AND(F4&lt;&gt;FALSE,F10&lt;&gt;"",F17&lt;&gt;""),F10-F17,E18)</f>
        <v>114</v>
      </c>
      <c r="G18" s="10">
        <f t="shared" si="1"/>
        <v>58</v>
      </c>
      <c r="H18" s="10">
        <f t="shared" si="1"/>
        <v>58</v>
      </c>
      <c r="I18" s="10">
        <f t="shared" si="1"/>
        <v>58</v>
      </c>
      <c r="J18" s="10">
        <f t="shared" si="1"/>
        <v>58</v>
      </c>
      <c r="K18" s="10">
        <f t="shared" si="1"/>
        <v>58</v>
      </c>
      <c r="L18" s="10">
        <f t="shared" si="1"/>
        <v>58</v>
      </c>
      <c r="M18" s="10" t="e">
        <f t="shared" si="1"/>
        <v>#N/A</v>
      </c>
      <c r="N18" s="10" t="e">
        <f>IF(AND(N4&lt;&gt;FALSE,N10&lt;&gt;"",N17&lt;&gt;""),N10-N17,M18)</f>
        <v>#N/A</v>
      </c>
      <c r="O18" s="10" t="e">
        <f>IF(AND(O4&lt;&gt;FALSE,O10&lt;&gt;"",O17&lt;&gt;""),O10-O17,N18)</f>
        <v>#N/A</v>
      </c>
      <c r="P18" s="10" t="e">
        <f>IF(AND(P4&lt;&gt;FALSE,P10&lt;&gt;"",P17&lt;&gt;""),P10-P17,O18)</f>
        <v>#N/A</v>
      </c>
      <c r="Q18" s="10" t="e">
        <f>IF(AND(Q4&lt;&gt;FALSE,Q10&lt;&gt;"",Q17&lt;&gt;""),Q10-Q17,P18)</f>
        <v>#N/A</v>
      </c>
      <c r="R18" s="10" t="e">
        <f>IF(AND(R4&lt;&gt;FALSE,R10&lt;&gt;"",R17&lt;&gt;""),R10-R17,Q18)</f>
        <v>#N/A</v>
      </c>
      <c r="S18" s="6"/>
      <c r="T18" s="6"/>
      <c r="U18" s="6"/>
      <c r="V18" s="6"/>
    </row>
    <row r="19" spans="1:22" x14ac:dyDescent="0.15">
      <c r="A19" s="6"/>
      <c r="B19" s="25" t="s">
        <v>10</v>
      </c>
      <c r="C19" s="26" t="s">
        <v>42</v>
      </c>
      <c r="D19" s="12">
        <f>IF(AND(D4&lt;&gt;FALSE,D15&lt;&gt;"",D17&lt;&gt;""),2*(D15-D17),"")</f>
        <v>221.6</v>
      </c>
      <c r="E19" s="10">
        <f>IF(AND(E4&lt;&gt;FALSE,E15&lt;&gt;"",E17&lt;&gt;""),2*(E15-E17),D19)</f>
        <v>217.86634296431464</v>
      </c>
      <c r="F19" s="10">
        <f>IF(AND(F4&lt;&gt;FALSE,F15&lt;&gt;"",F17&lt;&gt;""),2*(F15-F17),E19)</f>
        <v>215.51164631149322</v>
      </c>
      <c r="G19" s="10">
        <f>IF(AND(G4&lt;&gt;FALSE,G15&lt;&gt;"",G17&lt;&gt;""),2*(G15-G17),F19)</f>
        <v>115.99990811815775</v>
      </c>
      <c r="H19" s="10">
        <f>IF(AND(H4&lt;&gt;FALSE,H15&lt;&gt;"",H17&lt;&gt;""),2*(H15-H17),G19)</f>
        <v>115.99990811815775</v>
      </c>
      <c r="I19" s="10">
        <f t="shared" ref="I19:R19" si="2">IF(AND(I4&lt;&gt;FALSE,I15&lt;&gt;"",I17&lt;&gt;""),2*(I15-I17),H19)</f>
        <v>115.99990811815775</v>
      </c>
      <c r="J19" s="10">
        <f t="shared" si="2"/>
        <v>115.99990811815775</v>
      </c>
      <c r="K19" s="10">
        <f t="shared" si="2"/>
        <v>115.99990811815775</v>
      </c>
      <c r="L19" s="10">
        <f t="shared" si="2"/>
        <v>115.99990811815775</v>
      </c>
      <c r="M19" s="10">
        <f t="shared" si="2"/>
        <v>115.99990811815775</v>
      </c>
      <c r="N19" s="10">
        <f t="shared" si="2"/>
        <v>115.99990811815775</v>
      </c>
      <c r="O19" s="10">
        <f t="shared" si="2"/>
        <v>115.99990811815775</v>
      </c>
      <c r="P19" s="10">
        <f t="shared" si="2"/>
        <v>115.99990811815775</v>
      </c>
      <c r="Q19" s="10">
        <f t="shared" si="2"/>
        <v>115.99990811815775</v>
      </c>
      <c r="R19" s="10">
        <f t="shared" si="2"/>
        <v>115.99990811815775</v>
      </c>
      <c r="S19" s="6"/>
      <c r="T19" s="6"/>
      <c r="U19" s="6"/>
      <c r="V19" s="6"/>
    </row>
    <row r="20" spans="1:22" x14ac:dyDescent="0.15">
      <c r="A20" s="6"/>
      <c r="B20" s="39" t="s">
        <v>13</v>
      </c>
      <c r="C20" s="40" t="s">
        <v>1</v>
      </c>
      <c r="D20" s="12">
        <f>IF(AND(D4&lt;&gt;FALSE,D15&lt;&gt;"",D17&lt;&gt;"",$G$28&lt;&gt;""),-20.75+1.6*$G$28+2*(D17-D15),"")</f>
        <v>-226.35</v>
      </c>
      <c r="E20" s="10">
        <f>IF(AND(E4&lt;&gt;FALSE,E15&lt;&gt;"",E17&lt;&gt;"",$G$28&lt;&gt;""),-20.75+1.6*$G$28+2*(E17-E15),D20)</f>
        <v>-222.61634296431464</v>
      </c>
      <c r="F20" s="10">
        <f t="shared" ref="F20:M20" si="3">IF(AND(F4&lt;&gt;FALSE,F15&lt;&gt;"",F17&lt;&gt;"",$G$28&lt;&gt;""),-20.75+1.6*$G$28+2*(F17-F15),E20)</f>
        <v>-220.26164631149322</v>
      </c>
      <c r="G20" s="10">
        <f t="shared" si="3"/>
        <v>-120.74990811815775</v>
      </c>
      <c r="H20" s="10">
        <f t="shared" si="3"/>
        <v>-120.74990811815775</v>
      </c>
      <c r="I20" s="10">
        <f t="shared" si="3"/>
        <v>-120.74990811815775</v>
      </c>
      <c r="J20" s="10">
        <f t="shared" si="3"/>
        <v>-120.74990811815775</v>
      </c>
      <c r="K20" s="10">
        <f t="shared" si="3"/>
        <v>-120.74990811815775</v>
      </c>
      <c r="L20" s="10">
        <f t="shared" si="3"/>
        <v>-120.74990811815775</v>
      </c>
      <c r="M20" s="10">
        <f t="shared" si="3"/>
        <v>-120.74990811815775</v>
      </c>
      <c r="N20" s="10">
        <f>IF(AND(N4&lt;&gt;FALSE,N15&lt;&gt;"",N17&lt;&gt;"",$G$28&lt;&gt;""),-20.75+1.6*$G$28+2*(N17-N15),M20)</f>
        <v>-120.74990811815775</v>
      </c>
      <c r="O20" s="10">
        <f>IF(AND(O4&lt;&gt;FALSE,O15&lt;&gt;"",O17&lt;&gt;"",$G$28&lt;&gt;""),-20.75+1.6*$G$28+2*(O17-O15),N20)</f>
        <v>-120.74990811815775</v>
      </c>
      <c r="P20" s="10">
        <f>IF(AND(P4&lt;&gt;FALSE,P15&lt;&gt;"",P17&lt;&gt;"",$G$28&lt;&gt;""),-20.75+1.6*$G$28+2*(P17-P15),O20)</f>
        <v>-120.74990811815775</v>
      </c>
      <c r="Q20" s="10">
        <f>IF(AND(Q4&lt;&gt;FALSE,Q15&lt;&gt;"",Q17&lt;&gt;"",$G$28&lt;&gt;""),-20.75+1.6*$G$28+2*(Q17-Q15),P20)</f>
        <v>-120.74990811815775</v>
      </c>
      <c r="R20" s="10">
        <f>IF(AND(R4&lt;&gt;FALSE,R15&lt;&gt;"",R17&lt;&gt;"",$G$28&lt;&gt;""),-20.75+1.6*$G$28+2*(R17-R15),Q20)</f>
        <v>-120.74990811815775</v>
      </c>
      <c r="S20" s="6"/>
      <c r="T20" s="6"/>
      <c r="U20" s="6"/>
      <c r="V20" s="6"/>
    </row>
    <row r="21" spans="1:22" x14ac:dyDescent="0.1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</row>
    <row r="22" spans="1:22" x14ac:dyDescent="0.15">
      <c r="A22" s="6"/>
      <c r="B22" s="44"/>
      <c r="C22" s="44"/>
      <c r="D22" s="74" t="s">
        <v>11</v>
      </c>
      <c r="E22" s="74"/>
      <c r="F22" s="74"/>
      <c r="G22" s="74"/>
      <c r="H22" s="46"/>
      <c r="I22" s="68" t="s">
        <v>48</v>
      </c>
      <c r="J22" s="69"/>
      <c r="K22" s="69"/>
      <c r="L22" s="69"/>
      <c r="M22" s="70"/>
      <c r="N22" s="6"/>
      <c r="O22" s="65" t="s">
        <v>19</v>
      </c>
      <c r="P22" s="66"/>
      <c r="Q22" s="66"/>
      <c r="R22" s="67"/>
      <c r="S22" s="6"/>
      <c r="T22" s="6"/>
      <c r="U22" s="6"/>
      <c r="V22" s="6"/>
    </row>
    <row r="23" spans="1:22" x14ac:dyDescent="0.15">
      <c r="A23" s="6"/>
      <c r="B23" s="44"/>
      <c r="C23" s="44"/>
      <c r="D23" s="74" t="s">
        <v>37</v>
      </c>
      <c r="E23" s="74"/>
      <c r="F23" s="19" t="s">
        <v>3</v>
      </c>
      <c r="G23" s="20">
        <v>-50</v>
      </c>
      <c r="H23" s="6"/>
      <c r="I23" s="74" t="s">
        <v>16</v>
      </c>
      <c r="J23" s="74"/>
      <c r="K23" s="74"/>
      <c r="L23" s="19" t="s">
        <v>3</v>
      </c>
      <c r="M23" s="12">
        <f>IF(AND(G25&lt;&gt;"",G27&lt;&gt;"",G26&lt;&gt;""),10*LOG(1.3806505*10^(-20)*G25*10^6*G27)+LOOKUP(9E+307,13:13)+G26,"")</f>
        <v>-99.01457471969124</v>
      </c>
      <c r="N23" s="6"/>
      <c r="O23" s="71" t="s">
        <v>21</v>
      </c>
      <c r="P23" s="72"/>
      <c r="Q23" s="72"/>
      <c r="R23" s="73"/>
      <c r="S23" s="6"/>
      <c r="T23" s="6"/>
      <c r="U23" s="6"/>
      <c r="V23" s="6"/>
    </row>
    <row r="24" spans="1:22" x14ac:dyDescent="0.15">
      <c r="A24" s="6"/>
      <c r="B24" s="44"/>
      <c r="C24" s="44"/>
      <c r="D24" s="74" t="s">
        <v>14</v>
      </c>
      <c r="E24" s="74"/>
      <c r="F24" s="19" t="s">
        <v>1</v>
      </c>
      <c r="G24" s="20">
        <v>10</v>
      </c>
      <c r="H24" s="6"/>
      <c r="I24" s="74" t="s">
        <v>17</v>
      </c>
      <c r="J24" s="74"/>
      <c r="K24" s="74"/>
      <c r="L24" s="19" t="s">
        <v>49</v>
      </c>
      <c r="M24" s="12">
        <f>IF(AND(G27&lt;&gt;""),10*LOG(1.3806505*10^(-20)*G27)+LOOKUP(9E+307,13:13),"")</f>
        <v>-167.55699981408446</v>
      </c>
      <c r="N24" s="6"/>
      <c r="O24" s="71" t="s">
        <v>51</v>
      </c>
      <c r="P24" s="72"/>
      <c r="Q24" s="72"/>
      <c r="R24" s="73"/>
      <c r="S24" s="6"/>
      <c r="T24" s="6"/>
      <c r="U24" s="6"/>
      <c r="V24" s="6"/>
    </row>
    <row r="25" spans="1:22" x14ac:dyDescent="0.15">
      <c r="A25" s="6"/>
      <c r="B25" s="44"/>
      <c r="C25" s="44"/>
      <c r="D25" s="74" t="s">
        <v>43</v>
      </c>
      <c r="E25" s="74"/>
      <c r="F25" s="19" t="s">
        <v>25</v>
      </c>
      <c r="G25" s="20">
        <v>9</v>
      </c>
      <c r="H25" s="6"/>
      <c r="I25" s="74" t="s">
        <v>22</v>
      </c>
      <c r="J25" s="74"/>
      <c r="K25" s="74"/>
      <c r="L25" s="19" t="s">
        <v>20</v>
      </c>
      <c r="M25" s="12">
        <f>IF(AND(M24&lt;&gt;""),M24+LOOKUP(9E+307,12:12),"")</f>
        <v>-115.55699981408446</v>
      </c>
      <c r="N25" s="6"/>
      <c r="O25" s="71" t="s">
        <v>33</v>
      </c>
      <c r="P25" s="72"/>
      <c r="Q25" s="72"/>
      <c r="R25" s="73"/>
      <c r="S25" s="6"/>
      <c r="T25" s="6"/>
      <c r="U25" s="6"/>
      <c r="V25" s="6"/>
    </row>
    <row r="26" spans="1:22" x14ac:dyDescent="0.15">
      <c r="A26" s="6"/>
      <c r="B26" s="44"/>
      <c r="C26" s="44"/>
      <c r="D26" s="74" t="s">
        <v>44</v>
      </c>
      <c r="E26" s="74"/>
      <c r="F26" s="19" t="s">
        <v>1</v>
      </c>
      <c r="G26" s="20">
        <v>-1</v>
      </c>
      <c r="H26" s="6"/>
      <c r="I26" s="74" t="s">
        <v>15</v>
      </c>
      <c r="J26" s="74"/>
      <c r="K26" s="74"/>
      <c r="L26" s="19" t="s">
        <v>20</v>
      </c>
      <c r="M26" s="12">
        <f>IF(AND(G25&lt;&gt;"",G27&lt;&gt;""),10*LOG(1.3806505*10^(-20)*G25*10^6*G27)+LOOKUP(9E+307,13:13),"")</f>
        <v>-98.01457471969124</v>
      </c>
      <c r="N26" s="6"/>
      <c r="O26" s="71" t="s">
        <v>34</v>
      </c>
      <c r="P26" s="72"/>
      <c r="Q26" s="72"/>
      <c r="R26" s="73"/>
      <c r="S26" s="6"/>
      <c r="T26" s="6"/>
      <c r="U26" s="6"/>
      <c r="V26" s="6"/>
    </row>
    <row r="27" spans="1:22" x14ac:dyDescent="0.15">
      <c r="A27" s="6"/>
      <c r="B27" s="44"/>
      <c r="C27" s="44"/>
      <c r="D27" s="74" t="s">
        <v>45</v>
      </c>
      <c r="E27" s="74"/>
      <c r="F27" s="19" t="s">
        <v>46</v>
      </c>
      <c r="G27" s="20">
        <v>298</v>
      </c>
      <c r="H27" s="6"/>
      <c r="I27" s="74" t="s">
        <v>18</v>
      </c>
      <c r="J27" s="74"/>
      <c r="K27" s="74"/>
      <c r="L27" s="19" t="s">
        <v>20</v>
      </c>
      <c r="M27" s="12">
        <f>IF(AND(M26&lt;&gt;""),M26+LOOKUP(9E+307,12:12),"")</f>
        <v>-46.01457471969124</v>
      </c>
      <c r="N27" s="6"/>
      <c r="O27" s="71" t="s">
        <v>23</v>
      </c>
      <c r="P27" s="72"/>
      <c r="Q27" s="72"/>
      <c r="R27" s="73"/>
      <c r="S27" s="6"/>
      <c r="T27" s="6"/>
      <c r="U27" s="6"/>
      <c r="V27" s="6"/>
    </row>
    <row r="28" spans="1:22" x14ac:dyDescent="0.15">
      <c r="A28" s="6"/>
      <c r="B28" s="44"/>
      <c r="C28" s="44"/>
      <c r="D28" s="74" t="s">
        <v>12</v>
      </c>
      <c r="E28" s="74"/>
      <c r="F28" s="19" t="s">
        <v>1</v>
      </c>
      <c r="G28" s="20">
        <v>10</v>
      </c>
      <c r="H28" s="6"/>
      <c r="I28" s="74" t="s">
        <v>50</v>
      </c>
      <c r="J28" s="74"/>
      <c r="K28" s="74"/>
      <c r="L28" s="19" t="s">
        <v>1</v>
      </c>
      <c r="M28" s="12">
        <f>G23-M26</f>
        <v>48.01457471969124</v>
      </c>
      <c r="N28" s="6"/>
      <c r="O28" s="71" t="s">
        <v>35</v>
      </c>
      <c r="P28" s="72"/>
      <c r="Q28" s="72"/>
      <c r="R28" s="73"/>
      <c r="S28" s="6"/>
      <c r="T28" s="6"/>
      <c r="U28" s="6"/>
      <c r="V28" s="6"/>
    </row>
    <row r="29" spans="1:22" x14ac:dyDescent="0.15">
      <c r="A29" s="6"/>
      <c r="B29" s="44"/>
      <c r="C29" s="44"/>
      <c r="D29" s="74" t="s">
        <v>28</v>
      </c>
      <c r="E29" s="74"/>
      <c r="F29" s="19"/>
      <c r="G29" s="20" t="s">
        <v>116</v>
      </c>
      <c r="H29" s="47"/>
      <c r="I29" s="74" t="s">
        <v>27</v>
      </c>
      <c r="J29" s="74"/>
      <c r="K29" s="74"/>
      <c r="L29" s="19"/>
      <c r="M29" s="18" t="str">
        <f>IF(G29="是",IF(LOOKUP(9E+307,17:17)&gt;G31,"起控","未起控"),"无效")</f>
        <v>无效</v>
      </c>
      <c r="N29" s="6"/>
      <c r="O29" s="6"/>
      <c r="P29" s="6"/>
      <c r="Q29" s="6"/>
      <c r="R29" s="6"/>
      <c r="S29" s="6"/>
      <c r="T29" s="6"/>
      <c r="U29" s="6"/>
      <c r="V29" s="6"/>
    </row>
    <row r="30" spans="1:22" x14ac:dyDescent="0.15">
      <c r="A30" s="6"/>
      <c r="B30" s="6"/>
      <c r="C30" s="6"/>
      <c r="D30" s="74" t="s">
        <v>60</v>
      </c>
      <c r="E30" s="74"/>
      <c r="F30" s="19"/>
      <c r="G30" s="20">
        <v>6</v>
      </c>
      <c r="H30" s="6"/>
      <c r="I30" s="74" t="s">
        <v>32</v>
      </c>
      <c r="J30" s="74"/>
      <c r="K30" s="74"/>
      <c r="L30" s="19" t="s">
        <v>1</v>
      </c>
      <c r="M30" s="12">
        <f>LOOKUP(9E+307,17:17)-G31</f>
        <v>-15</v>
      </c>
      <c r="N30" s="6"/>
      <c r="O30" s="6"/>
      <c r="P30" s="6"/>
      <c r="Q30" s="6"/>
      <c r="R30" s="6"/>
      <c r="S30" s="6"/>
      <c r="T30" s="6"/>
      <c r="U30" s="6"/>
      <c r="V30" s="6"/>
    </row>
    <row r="31" spans="1:22" x14ac:dyDescent="0.15">
      <c r="A31" s="6"/>
      <c r="B31" s="6"/>
      <c r="C31" s="6"/>
      <c r="D31" s="74" t="s">
        <v>47</v>
      </c>
      <c r="E31" s="74"/>
      <c r="F31" s="19" t="s">
        <v>3</v>
      </c>
      <c r="G31" s="20">
        <v>17</v>
      </c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</row>
    <row r="32" spans="1:22" x14ac:dyDescent="0.15">
      <c r="A32" s="6"/>
      <c r="B32" s="6"/>
      <c r="C32" s="6"/>
      <c r="D32" s="6" t="s">
        <v>68</v>
      </c>
      <c r="E32" s="6"/>
      <c r="F32" s="6"/>
      <c r="G32" s="6">
        <v>65</v>
      </c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</row>
    <row r="33" spans="1:22" x14ac:dyDescent="0.15">
      <c r="A33" s="6"/>
      <c r="B33" s="6"/>
      <c r="C33" s="6"/>
      <c r="D33" s="44"/>
      <c r="E33" s="44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</row>
    <row r="34" spans="1:22" x14ac:dyDescent="0.15">
      <c r="A34" s="6"/>
      <c r="B34" s="6"/>
      <c r="C34" s="6"/>
      <c r="D34" s="44"/>
      <c r="E34" s="44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</row>
    <row r="35" spans="1:22" x14ac:dyDescent="0.15">
      <c r="A35" s="6"/>
      <c r="B35" s="6"/>
      <c r="C35" s="6"/>
      <c r="D35" s="44"/>
      <c r="E35" s="44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</row>
    <row r="36" spans="1:22" x14ac:dyDescent="0.15">
      <c r="C36" s="6"/>
      <c r="D36" s="44"/>
      <c r="E36" s="44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</row>
    <row r="37" spans="1:22" x14ac:dyDescent="0.15">
      <c r="D37" s="44"/>
      <c r="E37" s="44"/>
      <c r="F37" s="6"/>
      <c r="G37" s="6"/>
    </row>
    <row r="38" spans="1:22" x14ac:dyDescent="0.15">
      <c r="D38" s="44"/>
      <c r="E38" s="44"/>
    </row>
    <row r="39" spans="1:22" x14ac:dyDescent="0.15">
      <c r="D39" s="44"/>
      <c r="E39" s="44"/>
    </row>
  </sheetData>
  <mergeCells count="27">
    <mergeCell ref="B1:C3"/>
    <mergeCell ref="D22:G22"/>
    <mergeCell ref="I22:M22"/>
    <mergeCell ref="O22:R22"/>
    <mergeCell ref="D23:E23"/>
    <mergeCell ref="I23:K23"/>
    <mergeCell ref="O23:R23"/>
    <mergeCell ref="D24:E24"/>
    <mergeCell ref="I24:K24"/>
    <mergeCell ref="O24:R24"/>
    <mergeCell ref="D25:E25"/>
    <mergeCell ref="I25:K25"/>
    <mergeCell ref="O25:R25"/>
    <mergeCell ref="D26:E26"/>
    <mergeCell ref="I26:K26"/>
    <mergeCell ref="O26:R26"/>
    <mergeCell ref="D27:E27"/>
    <mergeCell ref="I27:K27"/>
    <mergeCell ref="O27:R27"/>
    <mergeCell ref="D31:E31"/>
    <mergeCell ref="D28:E28"/>
    <mergeCell ref="I28:K28"/>
    <mergeCell ref="O28:R28"/>
    <mergeCell ref="D29:E29"/>
    <mergeCell ref="I29:K29"/>
    <mergeCell ref="D30:E30"/>
    <mergeCell ref="I30:K30"/>
  </mergeCells>
  <phoneticPr fontId="16" type="noConversion"/>
  <conditionalFormatting sqref="D18:R18">
    <cfRule type="cellIs" dxfId="47" priority="11" operator="lessThan">
      <formula>$G24</formula>
    </cfRule>
  </conditionalFormatting>
  <conditionalFormatting sqref="D5:R11">
    <cfRule type="expression" dxfId="46" priority="10">
      <formula>D$4=FALSE</formula>
    </cfRule>
  </conditionalFormatting>
  <conditionalFormatting sqref="M29">
    <cfRule type="cellIs" dxfId="45" priority="8" operator="equal">
      <formula>"未起控"</formula>
    </cfRule>
    <cfRule type="cellIs" dxfId="44" priority="9" operator="equal">
      <formula>"起控"</formula>
    </cfRule>
  </conditionalFormatting>
  <conditionalFormatting sqref="D12:R20">
    <cfRule type="expression" dxfId="43" priority="3">
      <formula>D$4=FALSE</formula>
    </cfRule>
  </conditionalFormatting>
  <conditionalFormatting sqref="D4:I4 K4:R4">
    <cfRule type="cellIs" dxfId="42" priority="6" operator="equal">
      <formula>FALSE</formula>
    </cfRule>
    <cfRule type="cellIs" dxfId="41" priority="7" operator="equal">
      <formula>TRUE</formula>
    </cfRule>
  </conditionalFormatting>
  <conditionalFormatting sqref="J4">
    <cfRule type="cellIs" dxfId="40" priority="4" operator="equal">
      <formula>FALSE</formula>
    </cfRule>
    <cfRule type="cellIs" dxfId="39" priority="5" operator="equal">
      <formula>TRUE</formula>
    </cfRule>
  </conditionalFormatting>
  <conditionalFormatting sqref="N13">
    <cfRule type="expression" dxfId="38" priority="1" stopIfTrue="1">
      <formula>$H$24&lt;0</formula>
    </cfRule>
    <cfRule type="expression" dxfId="37" priority="2">
      <formula>$H$24&gt;0</formula>
    </cfRule>
  </conditionalFormatting>
  <dataValidations count="21">
    <dataValidation type="list" allowBlank="1" showInputMessage="1" showErrorMessage="1" sqref="R5">
      <formula1>种类</formula1>
    </dataValidation>
    <dataValidation type="list" allowBlank="1" showInputMessage="1" showErrorMessage="1" sqref="D7:R7">
      <formula1>频率</formula1>
    </dataValidation>
    <dataValidation type="list" allowBlank="1" showInputMessage="1" showErrorMessage="1" sqref="Q5">
      <formula1>"衰减器,放大器,LNA,混频器,LC滤波器,声表滤波器,隔离器,双工器,,"</formula1>
    </dataValidation>
    <dataValidation type="list" allowBlank="1" showInputMessage="1" showErrorMessage="1" sqref="Q6:R6">
      <formula1>"8dB,5dB,2dB,pe4302,0Ω,hsmp-3814,"</formula1>
    </dataValidation>
    <dataValidation type="list" allowBlank="1" showInputMessage="1" showErrorMessage="1" sqref="P6">
      <formula1>"射频声表,"</formula1>
    </dataValidation>
    <dataValidation type="list" allowBlank="1" showInputMessage="1" showErrorMessage="1" sqref="F29">
      <formula1>#REF!</formula1>
    </dataValidation>
    <dataValidation type="list" allowBlank="1" showInputMessage="1" showErrorMessage="1" sqref="G29">
      <formula1>"是,否"</formula1>
    </dataValidation>
    <dataValidation type="whole" allowBlank="1" showInputMessage="1" showErrorMessage="1" sqref="G23">
      <formula1>-90</formula1>
      <formula2>10</formula2>
    </dataValidation>
    <dataValidation type="list" allowBlank="1" showInputMessage="1" showErrorMessage="1" sqref="L5:P5">
      <formula1>"衰减器,放大器,LNA,混频器,LC滤波器,声表滤波器,隔离器,多工器,双工器,开关,"</formula1>
    </dataValidation>
    <dataValidation type="list" allowBlank="1" showInputMessage="1" showErrorMessage="1" sqref="O6">
      <formula1>"AS186-302,"</formula1>
    </dataValidation>
    <dataValidation type="list" allowBlank="1" showInputMessage="1" showErrorMessage="1" sqref="L6">
      <formula1>"8dB,6dB,5dB,2dB,pe4302,0Ω,hsmp3866_0,hsmp3866_10,hsmp3866_20,"</formula1>
    </dataValidation>
    <dataValidation type="list" allowBlank="1" showInputMessage="1" showErrorMessage="1" sqref="M6:N6">
      <formula1>"mga43528,mga43628,PW210,PW290,SGA6389,BG18C,PNH15,AH1,AH102,SKY65162-70LF,SXB-4089,ECG003,"</formula1>
    </dataValidation>
    <dataValidation type="list" allowBlank="1" showInputMessage="1" showErrorMessage="1" sqref="I6 F6">
      <formula1>"est.,"</formula1>
    </dataValidation>
    <dataValidation type="list" allowBlank="1" showInputMessage="1" showErrorMessage="1" sqref="K5">
      <formula1>"衰减器,放大器,LNA,,混频器,LC滤波器,声表滤波器,隔离器,多工器,双工器,开关,Cable,Diplexer,Duplexer,Trace loss,Tranceiver,"</formula1>
    </dataValidation>
    <dataValidation type="list" allowBlank="1" showInputMessage="1" showErrorMessage="1" sqref="J6:K6">
      <formula1>"WTR3925,"</formula1>
    </dataValidation>
    <dataValidation type="list" allowBlank="1" showInputMessage="1" showErrorMessage="1" sqref="H5">
      <formula1>"衰减器,放大器,LNA,混频器,LC滤波器,声表滤波器,隔离器,多工器,双工器,开关,Cable,Diplexer,Duplexer,balun,Trace loss,Tranceiver,Filter,Switcher,Tx module,Multiplexer,"</formula1>
    </dataValidation>
    <dataValidation type="list" allowBlank="1" showInputMessage="1" showErrorMessage="1" sqref="H6">
      <formula1>"RTC8612H,AS186-302,QFE1045,QFE1040,QFE1035,"</formula1>
    </dataValidation>
    <dataValidation type="list" allowBlank="1" showInputMessage="1" showErrorMessage="1" sqref="I5:J5 D5:G5">
      <formula1>"衰减器,放大器,混频器,LC滤波器,声表滤波器,隔离器,多工器,双工器,Cable,Diplexer,Duplexer,balun,Trace loss,Tranceiver,Filter,Switcher,Tx module,Multiplexer,LNA,PA,"</formula1>
    </dataValidation>
    <dataValidation type="list" allowBlank="1" showInputMessage="1" showErrorMessage="1" sqref="D6">
      <formula1>"QM57508,RF5212A,"</formula1>
    </dataValidation>
    <dataValidation type="list" allowBlank="1" showInputMessage="1" showErrorMessage="1" sqref="E6">
      <formula1>"SAYEY1G95GA0F0A(B1),SAYEY1G74BC0B0A(B3),SFX836CYA02(B5),SAYEY2G53BC0F0A(B7),SAYEY2G53BA0F0A(B7),SAYEY897MBG0F0A(B8),SAYEY897MBA0B0A(B8),SAYEY806MBA0F0A(B20),SAYEY806MBC0F0A(B20),SFX718BYJ02(B28A),SFX733BYJ02(B28B),"</formula1>
    </dataValidation>
    <dataValidation type="list" allowBlank="1" showInputMessage="1" showErrorMessage="1" sqref="G6">
      <formula1>"WTR3925,WTR2965,"</formula1>
    </dataValidation>
  </dataValidations>
  <pageMargins left="0.7" right="0.7" top="0.75" bottom="0.75" header="0.3" footer="0.3"/>
  <pageSetup paperSize="9" scale="49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0169" r:id="rId4" name="交换">
          <controlPr autoLine="0" r:id="rId5">
            <anchor moveWithCells="1">
              <from>
                <xdr:col>0</xdr:col>
                <xdr:colOff>66675</xdr:colOff>
                <xdr:row>2</xdr:row>
                <xdr:rowOff>200025</xdr:rowOff>
              </from>
              <to>
                <xdr:col>1</xdr:col>
                <xdr:colOff>0</xdr:colOff>
                <xdr:row>4</xdr:row>
                <xdr:rowOff>57150</xdr:rowOff>
              </to>
            </anchor>
          </controlPr>
        </control>
      </mc:Choice>
      <mc:Fallback>
        <control shapeId="90169" r:id="rId4" name="交换"/>
      </mc:Fallback>
    </mc:AlternateContent>
    <mc:AlternateContent xmlns:mc="http://schemas.openxmlformats.org/markup-compatibility/2006">
      <mc:Choice Requires="x14">
        <control shapeId="90170" r:id="rId6" name="stage2">
          <controlPr autoLine="0" r:id="rId7">
            <anchor moveWithCells="1">
              <from>
                <xdr:col>0</xdr:col>
                <xdr:colOff>66675</xdr:colOff>
                <xdr:row>5</xdr:row>
                <xdr:rowOff>104775</xdr:rowOff>
              </from>
              <to>
                <xdr:col>1</xdr:col>
                <xdr:colOff>0</xdr:colOff>
                <xdr:row>6</xdr:row>
                <xdr:rowOff>76200</xdr:rowOff>
              </to>
            </anchor>
          </controlPr>
        </control>
      </mc:Choice>
      <mc:Fallback>
        <control shapeId="90170" r:id="rId6" name="stage2"/>
      </mc:Fallback>
    </mc:AlternateContent>
    <mc:AlternateContent xmlns:mc="http://schemas.openxmlformats.org/markup-compatibility/2006">
      <mc:Choice Requires="x14">
        <control shapeId="90171" r:id="rId8" name="stage_num_set">
          <controlPr autoLine="0" r:id="rId9">
            <anchor moveWithCells="1">
              <from>
                <xdr:col>0</xdr:col>
                <xdr:colOff>66675</xdr:colOff>
                <xdr:row>8</xdr:row>
                <xdr:rowOff>38100</xdr:rowOff>
              </from>
              <to>
                <xdr:col>1</xdr:col>
                <xdr:colOff>0</xdr:colOff>
                <xdr:row>9</xdr:row>
                <xdr:rowOff>114300</xdr:rowOff>
              </to>
            </anchor>
          </controlPr>
        </control>
      </mc:Choice>
      <mc:Fallback>
        <control shapeId="90171" r:id="rId8" name="stage_num_set"/>
      </mc:Fallback>
    </mc:AlternateContent>
    <mc:AlternateContent xmlns:mc="http://schemas.openxmlformats.org/markup-compatibility/2006">
      <mc:Choice Requires="x14">
        <control shapeId="90172" r:id="rId10" name="stage_num">
          <controlPr autoLine="0" r:id="rId11">
            <anchor moveWithCells="1">
              <from>
                <xdr:col>0</xdr:col>
                <xdr:colOff>66675</xdr:colOff>
                <xdr:row>9</xdr:row>
                <xdr:rowOff>114300</xdr:rowOff>
              </from>
              <to>
                <xdr:col>1</xdr:col>
                <xdr:colOff>0</xdr:colOff>
                <xdr:row>10</xdr:row>
                <xdr:rowOff>152400</xdr:rowOff>
              </to>
            </anchor>
          </controlPr>
        </control>
      </mc:Choice>
      <mc:Fallback>
        <control shapeId="90172" r:id="rId10" name="stage_num"/>
      </mc:Fallback>
    </mc:AlternateContent>
    <mc:AlternateContent xmlns:mc="http://schemas.openxmlformats.org/markup-compatibility/2006">
      <mc:Choice Requires="x14">
        <control shapeId="90173" r:id="rId12" name="stage1">
          <controlPr autoLine="0" r:id="rId13">
            <anchor moveWithCells="1">
              <from>
                <xdr:col>0</xdr:col>
                <xdr:colOff>66675</xdr:colOff>
                <xdr:row>4</xdr:row>
                <xdr:rowOff>57150</xdr:rowOff>
              </from>
              <to>
                <xdr:col>1</xdr:col>
                <xdr:colOff>0</xdr:colOff>
                <xdr:row>5</xdr:row>
                <xdr:rowOff>104775</xdr:rowOff>
              </to>
            </anchor>
          </controlPr>
        </control>
      </mc:Choice>
      <mc:Fallback>
        <control shapeId="90173" r:id="rId12" name="stage1"/>
      </mc:Fallback>
    </mc:AlternateContent>
    <mc:AlternateContent xmlns:mc="http://schemas.openxmlformats.org/markup-compatibility/2006">
      <mc:Choice Requires="x14">
        <control shapeId="90113" r:id="rId14" name="Check Box 1">
          <controlPr defaultSize="0" autoFill="0" autoLine="0" autoPict="0" macro="[0]!复选框10_Click" altText="启用">
            <anchor moveWithCells="1">
              <from>
                <xdr:col>4</xdr:col>
                <xdr:colOff>152400</xdr:colOff>
                <xdr:row>2</xdr:row>
                <xdr:rowOff>200025</xdr:rowOff>
              </from>
              <to>
                <xdr:col>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14" r:id="rId15" name="Check Box 2">
          <controlPr defaultSize="0" autoFill="0" autoLine="0" autoPict="0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15" r:id="rId16" name="Check Box 3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16" r:id="rId17" name="Check Box 4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17" r:id="rId18" name="Check Box 5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18" r:id="rId19" name="Check Box 6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19" r:id="rId20" name="Check Box 7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20" r:id="rId21" name="Check Box 8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21" r:id="rId22" name="Check Box 9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22" r:id="rId23" name="Check Box 10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23" r:id="rId24" name="Check Box 11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24" r:id="rId25" name="Check Box 12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25" r:id="rId26" name="Check Box 13">
          <controlPr defaultSize="0" autoFill="0" autoLine="0" autoPict="0" altText="启用">
            <anchor moveWithCells="1">
              <from>
                <xdr:col>4</xdr:col>
                <xdr:colOff>152400</xdr:colOff>
                <xdr:row>2</xdr:row>
                <xdr:rowOff>200025</xdr:rowOff>
              </from>
              <to>
                <xdr:col>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26" r:id="rId27" name="Check Box 14">
          <controlPr defaultSize="0" autoFill="0" autoLine="0" autoPict="0" macro="[0]!复选框10_Click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27" r:id="rId28" name="Check Box 15">
          <controlPr defaultSize="0" autoFill="0" autoLine="0" autoPict="0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28" r:id="rId29" name="Check Box 16">
          <controlPr defaultSize="0" autoFill="0" autoLine="0" autoPict="0" macro="[0]!复选框10_Click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29" r:id="rId30" name="Check Box 17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30" r:id="rId31" name="Check Box 18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31" r:id="rId32" name="Check Box 19">
          <controlPr defaultSize="0" autoFill="0" autoLine="0" autoPict="0" macro="[0]!复选框10_Click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32" r:id="rId33" name="Check Box 20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33" r:id="rId34" name="Check Box 21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34" r:id="rId35" name="Check Box 22">
          <controlPr defaultSize="0" autoFill="0" autoLine="0" autoPict="0" macro="[0]!复选框10_Click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35" r:id="rId36" name="Check Box 23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36" r:id="rId37" name="Check Box 24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37" r:id="rId38" name="Check Box 25">
          <controlPr defaultSize="0" autoFill="0" autoLine="0" autoPict="0" macro="[0]!复选框10_Click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38" r:id="rId39" name="Check Box 26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39" r:id="rId40" name="Check Box 27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40" r:id="rId41" name="Check Box 28">
          <controlPr defaultSize="0" autoFill="0" autoLine="0" autoPict="0" macro="[0]!复选框10_Click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41" r:id="rId42" name="Check Box 29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42" r:id="rId43" name="Check Box 30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43" r:id="rId44" name="Check Box 31">
          <controlPr defaultSize="0" autoFill="0" autoLine="0" autoPict="0" macro="[0]!复选框10_Click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44" r:id="rId45" name="Check Box 32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45" r:id="rId46" name="Check Box 33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46" r:id="rId47" name="Check Box 34">
          <controlPr defaultSize="0" autoFill="0" autoLine="0" autoPict="0" macro="[0]!复选框10_Click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47" r:id="rId48" name="Check Box 35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48" r:id="rId49" name="Check Box 36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49" r:id="rId50" name="Check Box 37">
          <controlPr defaultSize="0" autoFill="0" autoLine="0" autoPict="0" macro="[0]!复选框10_Click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50" r:id="rId51" name="Check Box 38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51" r:id="rId52" name="Check Box 39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52" r:id="rId53" name="Check Box 40">
          <controlPr defaultSize="0" autoFill="0" autoLine="0" autoPict="0" macro="[0]!复选框10_Click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53" r:id="rId54" name="Check Box 41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54" r:id="rId55" name="Check Box 42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55" r:id="rId56" name="Check Box 43">
          <controlPr defaultSize="0" autoFill="0" autoLine="0" autoPict="0" macro="[0]!复选框10_Click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56" r:id="rId57" name="Check Box 44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57" r:id="rId58" name="Check Box 45">
          <controlPr defaultSize="0" autoFill="0" autoLine="0" autoPict="0" altText="启用">
            <anchor moveWithCells="1">
              <from>
                <xdr:col>3</xdr:col>
                <xdr:colOff>152400</xdr:colOff>
                <xdr:row>2</xdr:row>
                <xdr:rowOff>200025</xdr:rowOff>
              </from>
              <to>
                <xdr:col>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58" r:id="rId59" name="Check Box 46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59" r:id="rId60" name="Check Box 47">
          <controlPr defaultSize="0" autoFill="0" autoLine="0" autoPict="0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60" r:id="rId61" name="Check Box 48">
          <controlPr defaultSize="0" autoFill="0" autoLine="0" autoPict="0" macro="[0]!复选框10_Click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61" r:id="rId62" name="Check Box 49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62" r:id="rId63" name="Check Box 50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63" r:id="rId64" name="Check Box 51">
          <controlPr defaultSize="0" autoFill="0" autoLine="0" autoPict="0" macro="[0]!复选框10_Click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64" r:id="rId65" name="Check Box 52">
          <controlPr defaultSize="0" autoFill="0" autoLine="0" autoPict="0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65" r:id="rId66" name="Check Box 53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66" r:id="rId67" name="Check Box 54">
          <controlPr defaultSize="0" autoFill="0" autoLine="0" autoPict="0" macro="[0]!复选框10_Click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67" r:id="rId68" name="Check Box 55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0168" r:id="rId69" name="Check Box 56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Y41"/>
  <sheetViews>
    <sheetView showGridLines="0" zoomScale="106" zoomScaleNormal="106" workbookViewId="0">
      <pane xSplit="3" topLeftCell="D1" activePane="topRight" state="frozen"/>
      <selection pane="topRight" activeCell="G11" sqref="G11"/>
    </sheetView>
  </sheetViews>
  <sheetFormatPr defaultRowHeight="16.5" x14ac:dyDescent="0.15"/>
  <cols>
    <col min="1" max="1" width="9" style="2"/>
    <col min="2" max="2" width="16.75" style="1" customWidth="1"/>
    <col min="3" max="3" width="6" style="2" bestFit="1" customWidth="1"/>
    <col min="4" max="18" width="12.625" style="2" customWidth="1"/>
    <col min="19" max="16384" width="9" style="2"/>
  </cols>
  <sheetData>
    <row r="1" spans="1:25" ht="45.75" customHeight="1" x14ac:dyDescent="0.15">
      <c r="A1" s="6"/>
      <c r="B1" s="63" t="s">
        <v>61</v>
      </c>
      <c r="C1" s="63"/>
      <c r="D1" s="6"/>
      <c r="E1"/>
      <c r="F1"/>
      <c r="G1"/>
      <c r="H1"/>
      <c r="I1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</row>
    <row r="2" spans="1:25" ht="16.5" customHeight="1" x14ac:dyDescent="0.15">
      <c r="A2"/>
      <c r="B2" s="63"/>
      <c r="C2" s="63"/>
      <c r="D2" s="8">
        <f>数据源!J5</f>
        <v>0</v>
      </c>
      <c r="E2" s="6"/>
      <c r="F2" s="6"/>
      <c r="G2" s="6"/>
      <c r="H2"/>
      <c r="I2"/>
      <c r="J2"/>
      <c r="K2"/>
      <c r="L2" s="6"/>
      <c r="M2" s="6"/>
      <c r="N2" s="6"/>
      <c r="O2" s="6"/>
      <c r="P2" s="6"/>
      <c r="Q2" s="6"/>
      <c r="R2" s="6"/>
      <c r="S2" s="6"/>
      <c r="T2" s="6"/>
      <c r="U2" s="6"/>
      <c r="V2" s="6"/>
    </row>
    <row r="3" spans="1:25" ht="16.5" customHeight="1" x14ac:dyDescent="0.15">
      <c r="A3"/>
      <c r="B3" s="64"/>
      <c r="C3" s="64"/>
      <c r="D3" s="25">
        <v>1</v>
      </c>
      <c r="E3" s="25">
        <v>2</v>
      </c>
      <c r="F3" s="25">
        <v>3</v>
      </c>
      <c r="G3" s="25">
        <v>4</v>
      </c>
      <c r="H3" s="25">
        <v>5</v>
      </c>
      <c r="I3" s="25">
        <v>6</v>
      </c>
      <c r="J3" s="25">
        <v>7</v>
      </c>
      <c r="K3" s="25">
        <v>8</v>
      </c>
      <c r="L3" s="25">
        <v>9</v>
      </c>
      <c r="M3" s="25">
        <v>10</v>
      </c>
      <c r="N3" s="25">
        <v>11</v>
      </c>
      <c r="O3" s="25">
        <v>12</v>
      </c>
      <c r="P3" s="25">
        <v>13</v>
      </c>
      <c r="Q3" s="25">
        <v>14</v>
      </c>
      <c r="R3" s="25">
        <v>15</v>
      </c>
      <c r="S3" s="6"/>
      <c r="T3" s="6"/>
      <c r="U3" s="6"/>
      <c r="V3"/>
      <c r="W3"/>
      <c r="X3"/>
      <c r="Y3"/>
    </row>
    <row r="4" spans="1:25" x14ac:dyDescent="0.15">
      <c r="A4"/>
      <c r="B4" s="25"/>
      <c r="C4" s="28" t="s">
        <v>38</v>
      </c>
      <c r="D4" s="23" t="b">
        <v>1</v>
      </c>
      <c r="E4" s="24" t="b">
        <v>1</v>
      </c>
      <c r="F4" s="24" t="b">
        <v>1</v>
      </c>
      <c r="G4" s="24" t="b">
        <v>1</v>
      </c>
      <c r="H4" s="24" t="b">
        <v>0</v>
      </c>
      <c r="I4" s="24" t="b">
        <v>0</v>
      </c>
      <c r="J4" s="24" t="b">
        <v>0</v>
      </c>
      <c r="K4" s="24" t="b">
        <v>0</v>
      </c>
      <c r="L4" s="24" t="b">
        <v>0</v>
      </c>
      <c r="M4" s="24" t="b">
        <v>0</v>
      </c>
      <c r="N4" s="24" t="b">
        <v>0</v>
      </c>
      <c r="O4" s="24" t="b">
        <v>0</v>
      </c>
      <c r="P4" s="24" t="b">
        <v>0</v>
      </c>
      <c r="Q4" s="24" t="b">
        <v>0</v>
      </c>
      <c r="R4" s="24" t="b">
        <v>0</v>
      </c>
      <c r="S4"/>
      <c r="T4"/>
      <c r="U4"/>
      <c r="V4"/>
      <c r="W4"/>
      <c r="X4"/>
      <c r="Y4"/>
    </row>
    <row r="5" spans="1:25" s="4" customFormat="1" x14ac:dyDescent="0.15">
      <c r="A5"/>
      <c r="B5" s="25" t="s">
        <v>24</v>
      </c>
      <c r="C5" s="26"/>
      <c r="D5" s="21" t="s">
        <v>83</v>
      </c>
      <c r="E5" s="21" t="s">
        <v>79</v>
      </c>
      <c r="F5" s="21" t="s">
        <v>76</v>
      </c>
      <c r="G5" s="21" t="s">
        <v>77</v>
      </c>
      <c r="H5" s="21" t="s">
        <v>77</v>
      </c>
      <c r="I5" s="21" t="s">
        <v>77</v>
      </c>
      <c r="J5" s="21" t="s">
        <v>52</v>
      </c>
      <c r="K5" s="21" t="s">
        <v>77</v>
      </c>
      <c r="L5" s="21" t="s">
        <v>29</v>
      </c>
      <c r="M5" s="21" t="s">
        <v>30</v>
      </c>
      <c r="N5" s="21" t="s">
        <v>30</v>
      </c>
      <c r="O5" s="21" t="s">
        <v>63</v>
      </c>
      <c r="P5" s="21" t="s">
        <v>31</v>
      </c>
      <c r="Q5" s="21" t="s">
        <v>29</v>
      </c>
      <c r="R5" s="21" t="s">
        <v>29</v>
      </c>
      <c r="S5"/>
      <c r="T5"/>
      <c r="U5"/>
      <c r="V5"/>
      <c r="W5"/>
      <c r="X5"/>
      <c r="Y5"/>
    </row>
    <row r="6" spans="1:25" s="4" customFormat="1" x14ac:dyDescent="0.15">
      <c r="A6"/>
      <c r="B6" s="27" t="s">
        <v>0</v>
      </c>
      <c r="C6" s="26"/>
      <c r="D6" s="43" t="s">
        <v>93</v>
      </c>
      <c r="E6" s="43" t="s">
        <v>130</v>
      </c>
      <c r="F6" s="43" t="s">
        <v>75</v>
      </c>
      <c r="G6" s="43" t="s">
        <v>119</v>
      </c>
      <c r="H6" s="43" t="s">
        <v>119</v>
      </c>
      <c r="I6" s="43" t="s">
        <v>78</v>
      </c>
      <c r="J6" s="43" t="s">
        <v>70</v>
      </c>
      <c r="K6" s="43" t="s">
        <v>78</v>
      </c>
      <c r="L6" s="43" t="s">
        <v>65</v>
      </c>
      <c r="M6" s="43" t="s">
        <v>69</v>
      </c>
      <c r="N6" s="43" t="s">
        <v>66</v>
      </c>
      <c r="O6" s="43" t="s">
        <v>67</v>
      </c>
      <c r="P6" s="43" t="s">
        <v>53</v>
      </c>
      <c r="Q6" s="43" t="s">
        <v>59</v>
      </c>
      <c r="R6" s="43" t="s">
        <v>56</v>
      </c>
      <c r="S6"/>
      <c r="T6"/>
      <c r="U6"/>
      <c r="V6"/>
      <c r="W6"/>
      <c r="X6"/>
      <c r="Y6"/>
    </row>
    <row r="7" spans="1:25" s="4" customFormat="1" ht="17.25" thickBot="1" x14ac:dyDescent="0.2">
      <c r="A7" s="41"/>
      <c r="B7" s="27" t="s">
        <v>57</v>
      </c>
      <c r="C7" s="28" t="s">
        <v>25</v>
      </c>
      <c r="D7" s="42" t="s">
        <v>85</v>
      </c>
      <c r="E7" s="42" t="s">
        <v>131</v>
      </c>
      <c r="F7" s="42" t="s">
        <v>117</v>
      </c>
      <c r="G7" s="42" t="s">
        <v>91</v>
      </c>
      <c r="H7" s="42" t="s">
        <v>91</v>
      </c>
      <c r="I7" s="42" t="s">
        <v>92</v>
      </c>
      <c r="J7" s="42" t="s">
        <v>71</v>
      </c>
      <c r="K7" s="42" t="s">
        <v>92</v>
      </c>
      <c r="L7" s="42" t="s">
        <v>54</v>
      </c>
      <c r="M7" s="42" t="s">
        <v>64</v>
      </c>
      <c r="N7" s="42" t="s">
        <v>64</v>
      </c>
      <c r="O7" s="42" t="s">
        <v>62</v>
      </c>
      <c r="P7" s="42" t="s">
        <v>62</v>
      </c>
      <c r="Q7" s="42" t="s">
        <v>54</v>
      </c>
      <c r="R7" s="42" t="s">
        <v>54</v>
      </c>
      <c r="S7" s="41"/>
      <c r="T7" s="41"/>
      <c r="U7" s="41"/>
      <c r="V7" s="41"/>
      <c r="W7" s="41"/>
      <c r="X7" s="41"/>
      <c r="Y7" s="41"/>
    </row>
    <row r="8" spans="1:25" ht="17.25" thickTop="1" x14ac:dyDescent="0.15">
      <c r="A8"/>
      <c r="B8" s="25" t="s">
        <v>58</v>
      </c>
      <c r="C8" s="26" t="s">
        <v>1</v>
      </c>
      <c r="D8" s="15">
        <f>LOOKUP(1,0/((数据源!$A$2:$A$160=D5)*(数据源!$B$2:$B$160=D6)*(数据源!$C$2:$C$160=D7)),数据源!$D$2:$D$160)</f>
        <v>-0.38</v>
      </c>
      <c r="E8" s="15">
        <f>LOOKUP(1,0/((数据源!$A$2:$A$160=E5)*(数据源!$B$2:$B$160=E6)*(数据源!$C$2:$C$160=E7)),数据源!$D$2:$D$160)</f>
        <v>-2.2000000000000002</v>
      </c>
      <c r="F8" s="15">
        <f>LOOKUP(1,0/((数据源!$A$2:$A$160=F5)*(数据源!$B$2:$B$160=F6)*(数据源!$C$2:$C$160=F7)),数据源!$D$2:$D$160)</f>
        <v>-0.5</v>
      </c>
      <c r="G8" s="15">
        <f>LOOKUP(1,0/((数据源!$A$2:$A$160=G5)*(数据源!$B$2:$B$160=G6)*(数据源!$C$2:$C$160=G7)),数据源!$D$2:$D$160)</f>
        <v>56</v>
      </c>
      <c r="H8" s="15">
        <f>LOOKUP(1,0/((数据源!$A$2:$A$160=H5)*(数据源!$B$2:$B$160=H6)*(数据源!$C$2:$C$160=H7)),数据源!$D$2:$D$160)</f>
        <v>56</v>
      </c>
      <c r="I8" s="15">
        <f>LOOKUP(1,0/((数据源!$A$2:$A$160=I5)*(数据源!$B$2:$B$160=I6)*(数据源!$C$2:$C$160=I7)),数据源!$D$2:$D$160)</f>
        <v>56</v>
      </c>
      <c r="J8" s="15">
        <f>LOOKUP(1,0/((数据源!$A$2:$A$160=J5)*(数据源!$B$2:$B$160=J6)*(数据源!$C$2:$C$160=J7)),数据源!$D$2:$D$160)</f>
        <v>15</v>
      </c>
      <c r="K8" s="15">
        <f>LOOKUP(1,0/((数据源!$A$2:$A$160=K5)*(数据源!$B$2:$B$160=K6)*(数据源!$C$2:$C$160=K7)),数据源!$D$2:$D$160)</f>
        <v>56</v>
      </c>
      <c r="L8" s="15">
        <f>LOOKUP(1,0/((数据源!$A$2:$A$160=L5)*(数据源!$B$2:$B$160=L6)*(数据源!$C$2:$C$160=L7)),数据源!$D$2:$D$160)</f>
        <v>-2</v>
      </c>
      <c r="M8" s="15" t="e">
        <f>LOOKUP(1,0/((数据源!$A$2:$A$160=M5)*(数据源!$B$2:$B$160=M6)*(数据源!$C$2:$C$160=M7)),数据源!$D$2:$D$160)</f>
        <v>#N/A</v>
      </c>
      <c r="N8" s="15" t="e">
        <f>LOOKUP(1,0/((数据源!$A$2:$A$160=N5)*(数据源!$B$2:$B$160=N6)*(数据源!$C$2:$C$160=N7)),数据源!$D$2:$D$160)</f>
        <v>#N/A</v>
      </c>
      <c r="O8" s="15" t="e">
        <f>LOOKUP(1,0/((数据源!$A$2:$A$160=O5)*(数据源!$B$2:$B$160=O6)*(数据源!$C$2:$C$160=O7)),数据源!$D$2:$D$160)</f>
        <v>#N/A</v>
      </c>
      <c r="P8" s="15" t="e">
        <f>LOOKUP(1,0/((数据源!$A$2:$A$160=P5)*(数据源!$B$2:$B$160=P6)*(数据源!$C$2:$C$160=P7)),数据源!$D$2:$D$160)</f>
        <v>#N/A</v>
      </c>
      <c r="Q8" s="15">
        <f>LOOKUP(1,0/((数据源!$A$2:$A$160=Q5)*(数据源!$B$2:$B$160=Q6)*(数据源!$C$2:$C$160=Q7)),数据源!$D$2:$D$160)</f>
        <v>-5</v>
      </c>
      <c r="R8" s="15">
        <f>LOOKUP(1,0/((数据源!$A$2:$A$160=R5)*(数据源!$B$2:$B$160=R6)*(数据源!$C$2:$C$160=R7)),数据源!$D$2:$D$160)</f>
        <v>-8</v>
      </c>
      <c r="S8"/>
      <c r="T8"/>
      <c r="U8"/>
      <c r="V8"/>
      <c r="W8"/>
      <c r="X8"/>
      <c r="Y8"/>
    </row>
    <row r="9" spans="1:25" x14ac:dyDescent="0.15">
      <c r="A9"/>
      <c r="B9" s="25" t="s">
        <v>2</v>
      </c>
      <c r="C9" s="26" t="s">
        <v>1</v>
      </c>
      <c r="D9" s="12">
        <f>LOOKUP(1,0/((数据源!$A$2:$A$160=D5)*(数据源!$B$2:$B$160=D6)*(数据源!$C$2:$C$160=D7)),数据源!$E$2:$E$160)</f>
        <v>0.38</v>
      </c>
      <c r="E9" s="12">
        <f>LOOKUP(1,0/((数据源!$A$2:$A$160=E5)*(数据源!$B$2:$B$160=E6)*(数据源!$C$2:$C$160=E7)),数据源!$E$2:$E$160)</f>
        <v>2.2000000000000002</v>
      </c>
      <c r="F9" s="12">
        <f>LOOKUP(1,0/((数据源!$A$2:$A$160=F5)*(数据源!$B$2:$B$160=F6)*(数据源!$C$2:$C$160=F7)),数据源!$E$2:$E$160)</f>
        <v>0.5</v>
      </c>
      <c r="G9" s="12">
        <f>LOOKUP(1,0/((数据源!$A$2:$A$160=G5)*(数据源!$B$2:$B$160=G6)*(数据源!$C$2:$C$160=G7)),数据源!$E$2:$E$160)</f>
        <v>2.2999999999999998</v>
      </c>
      <c r="H9" s="12">
        <f>LOOKUP(1,0/((数据源!$A$2:$A$160=H5)*(数据源!$B$2:$B$160=H6)*(数据源!$C$2:$C$160=H7)),数据源!$E$2:$E$160)</f>
        <v>2.2999999999999998</v>
      </c>
      <c r="I9" s="12">
        <f>LOOKUP(1,0/((数据源!$A$2:$A$160=I5)*(数据源!$B$2:$B$160=I6)*(数据源!$C$2:$C$160=I7)),数据源!$E$2:$E$160)</f>
        <v>2.7</v>
      </c>
      <c r="J9" s="12">
        <f>LOOKUP(1,0/((数据源!$A$2:$A$160=J5)*(数据源!$B$2:$B$160=J6)*(数据源!$C$2:$C$160=J7)),数据源!$E$2:$E$160)</f>
        <v>0.7</v>
      </c>
      <c r="K9" s="12">
        <f>LOOKUP(1,0/((数据源!$A$2:$A$160=K5)*(数据源!$B$2:$B$160=K6)*(数据源!$C$2:$C$160=K7)),数据源!$E$2:$E$160)</f>
        <v>2.7</v>
      </c>
      <c r="L9" s="12">
        <f>LOOKUP(1,0/((数据源!$A$2:$A$160=L5)*(数据源!$B$2:$B$160=L6)*(数据源!$C$2:$C$160=L7)),数据源!$E$2:$E$160)</f>
        <v>2</v>
      </c>
      <c r="M9" s="12" t="e">
        <f>LOOKUP(1,0/((数据源!$A$2:$A$160=M5)*(数据源!$B$2:$B$160=M6)*(数据源!$C$2:$C$160=M7)),数据源!$E$2:$E$160)</f>
        <v>#N/A</v>
      </c>
      <c r="N9" s="12" t="e">
        <f>LOOKUP(1,0/((数据源!$A$2:$A$160=N5)*(数据源!$B$2:$B$160=N6)*(数据源!$C$2:$C$160=N7)),数据源!$E$2:$E$160)</f>
        <v>#N/A</v>
      </c>
      <c r="O9" s="12" t="e">
        <f>LOOKUP(1,0/((数据源!$A$2:$A$160=O5)*(数据源!$B$2:$B$160=O6)*(数据源!$C$2:$C$160=O7)),数据源!$E$2:$E$160)</f>
        <v>#N/A</v>
      </c>
      <c r="P9" s="12" t="e">
        <f>LOOKUP(1,0/((数据源!$A$2:$A$160=P5)*(数据源!$B$2:$B$160=P6)*(数据源!$C$2:$C$160=P7)),数据源!$E$2:$E$160)</f>
        <v>#N/A</v>
      </c>
      <c r="Q9" s="12">
        <f>LOOKUP(1,0/((数据源!$A$2:$A$160=Q5)*(数据源!$B$2:$B$160=Q6)*(数据源!$C$2:$C$160=Q7)),数据源!$E$2:$E$160)</f>
        <v>5</v>
      </c>
      <c r="R9" s="12">
        <f>LOOKUP(1,0/((数据源!$A$2:$A$160=R5)*(数据源!$B$2:$B$160=R6)*(数据源!$C$2:$C$160=R7)),数据源!$E$2:$E$160)</f>
        <v>8</v>
      </c>
      <c r="S9"/>
      <c r="T9"/>
      <c r="U9"/>
      <c r="V9"/>
      <c r="W9"/>
      <c r="X9"/>
      <c r="Y9"/>
    </row>
    <row r="10" spans="1:25" x14ac:dyDescent="0.15">
      <c r="A10"/>
      <c r="B10" s="25" t="s">
        <v>55</v>
      </c>
      <c r="C10" s="26" t="s">
        <v>3</v>
      </c>
      <c r="D10" s="12">
        <f>LOOKUP(1,0/((数据源!$A$2:$A$160=D5)*(数据源!$B$2:$B$160=D6)*(数据源!$C$2:$C$160=D7)),数据源!$F$2:$F$160)</f>
        <v>60</v>
      </c>
      <c r="E10" s="12">
        <f>LOOKUP(1,0/((数据源!$A$2:$A$160=E5)*(数据源!$B$2:$B$160=E6)*(数据源!$C$2:$C$160=E7)),数据源!$F$2:$F$160)</f>
        <v>60</v>
      </c>
      <c r="F10" s="12">
        <f>LOOKUP(1,0/((数据源!$A$2:$A$160=F5)*(数据源!$B$2:$B$160=F6)*(数据源!$C$2:$C$160=F7)),数据源!$F$2:$F$160)</f>
        <v>60</v>
      </c>
      <c r="G10" s="12">
        <f>LOOKUP(1,0/((数据源!$A$2:$A$160=G5)*(数据源!$B$2:$B$160=G6)*(数据源!$C$2:$C$160=G7)),数据源!$F$2:$F$160)</f>
        <v>60</v>
      </c>
      <c r="H10" s="12">
        <f>LOOKUP(1,0/((数据源!$A$2:$A$160=H5)*(数据源!$B$2:$B$160=H6)*(数据源!$C$2:$C$160=H7)),数据源!$F$2:$F$160)</f>
        <v>60</v>
      </c>
      <c r="I10" s="12">
        <f>LOOKUP(1,0/((数据源!$A$2:$A$160=I5)*(数据源!$B$2:$B$160=I6)*(数据源!$C$2:$C$160=I7)),数据源!$F$2:$F$160)</f>
        <v>60</v>
      </c>
      <c r="J10" s="12">
        <f>LOOKUP(1,0/((数据源!$A$2:$A$160=J5)*(数据源!$B$2:$B$160=J6)*(数据源!$C$2:$C$160=J7)),数据源!$F$2:$F$160)</f>
        <v>15</v>
      </c>
      <c r="K10" s="12">
        <f>LOOKUP(1,0/((数据源!$A$2:$A$160=K5)*(数据源!$B$2:$B$160=K6)*(数据源!$C$2:$C$160=K7)),数据源!$F$2:$F$160)</f>
        <v>60</v>
      </c>
      <c r="L10" s="12">
        <f>LOOKUP(1,0/((数据源!$A$2:$A$160=L5)*(数据源!$B$2:$B$160=L6)*(数据源!$C$2:$C$160=L7)),数据源!$F$2:$F$160)</f>
        <v>1000</v>
      </c>
      <c r="M10" s="12" t="e">
        <f>LOOKUP(1,0/((数据源!$A$2:$A$160=M5)*(数据源!$B$2:$B$160=M6)*(数据源!$C$2:$C$160=M7)),数据源!$F$2:$F$160)</f>
        <v>#N/A</v>
      </c>
      <c r="N10" s="12" t="e">
        <f>LOOKUP(1,0/((数据源!$A$2:$A$160=N5)*(数据源!$B$2:$B$160=N6)*(数据源!$C$2:$C$160=N7)),数据源!$F$2:$F$160)</f>
        <v>#N/A</v>
      </c>
      <c r="O10" s="12" t="e">
        <f>LOOKUP(1,0/((数据源!$A$2:$A$160=O5)*(数据源!$B$2:$B$160=O6)*(数据源!$C$2:$C$160=O7)),数据源!$F$2:$F$160)</f>
        <v>#N/A</v>
      </c>
      <c r="P10" s="12" t="e">
        <f>LOOKUP(1,0/((数据源!$A$2:$A$160=P5)*(数据源!$B$2:$B$160=P6)*(数据源!$C$2:$C$160=P7)),数据源!$F$2:$F$160)</f>
        <v>#N/A</v>
      </c>
      <c r="Q10" s="12">
        <f>LOOKUP(1,0/((数据源!$A$2:$A$160=Q5)*(数据源!$B$2:$B$160=Q6)*(数据源!$C$2:$C$160=Q7)),数据源!$F$2:$F$160)</f>
        <v>1000</v>
      </c>
      <c r="R10" s="12">
        <f>LOOKUP(1,0/((数据源!$A$2:$A$160=R5)*(数据源!$B$2:$B$160=R6)*(数据源!$C$2:$C$160=R7)),数据源!$F$2:$F$160)</f>
        <v>1000</v>
      </c>
      <c r="S10"/>
      <c r="T10"/>
      <c r="U10"/>
      <c r="V10"/>
      <c r="W10"/>
      <c r="X10"/>
      <c r="Y10"/>
    </row>
    <row r="11" spans="1:25" ht="17.25" thickBot="1" x14ac:dyDescent="0.2">
      <c r="A11" s="6"/>
      <c r="B11" s="29" t="s">
        <v>4</v>
      </c>
      <c r="C11" s="30" t="s">
        <v>3</v>
      </c>
      <c r="D11" s="13">
        <f>LOOKUP(1,0/((数据源!$A$2:$A$160=D5)*(数据源!$B$2:$B$160=D6)*(数据源!$C$2:$C$160=D7)),数据源!$G$2:$G$160)</f>
        <v>60</v>
      </c>
      <c r="E11" s="13">
        <f>LOOKUP(1,0/((数据源!$A$2:$A$160=E5)*(数据源!$B$2:$B$160=E6)*(数据源!$C$2:$C$160=E7)),数据源!$G$2:$G$160)</f>
        <v>60</v>
      </c>
      <c r="F11" s="13">
        <f>LOOKUP(1,0/((数据源!$A$2:$A$160=F5)*(数据源!$B$2:$B$160=F6)*(数据源!$C$2:$C$160=F7)),数据源!$G$2:$G$160)</f>
        <v>60</v>
      </c>
      <c r="G11" s="13">
        <f>LOOKUP(1,0/((数据源!$A$2:$A$160=G5)*(数据源!$B$2:$B$160=G6)*(数据源!$C$2:$C$160=G7)),数据源!$G$2:$G$160)</f>
        <v>60</v>
      </c>
      <c r="H11" s="13">
        <f>LOOKUP(1,0/((数据源!$A$2:$A$160=H5)*(数据源!$B$2:$B$160=H6)*(数据源!$C$2:$C$160=H7)),数据源!$G$2:$G$160)</f>
        <v>60</v>
      </c>
      <c r="I11" s="13">
        <f>LOOKUP(1,0/((数据源!$A$2:$A$160=I5)*(数据源!$B$2:$B$160=I6)*(数据源!$C$2:$C$160=I7)),数据源!$G$2:$G$160)</f>
        <v>60</v>
      </c>
      <c r="J11" s="13">
        <f>LOOKUP(1,0/((数据源!$A$2:$A$160=J5)*(数据源!$B$2:$B$160=J6)*(数据源!$C$2:$C$160=J7)),数据源!$G$2:$G$160)</f>
        <v>16</v>
      </c>
      <c r="K11" s="13">
        <f>LOOKUP(1,0/((数据源!$A$2:$A$160=K5)*(数据源!$B$2:$B$160=K6)*(数据源!$C$2:$C$160=K7)),数据源!$G$2:$G$160)</f>
        <v>60</v>
      </c>
      <c r="L11" s="13">
        <f>LOOKUP(1,0/((数据源!$A$2:$A$160=L5)*(数据源!$B$2:$B$160=L6)*(数据源!$C$2:$C$160=L7)),数据源!$G$2:$G$160)</f>
        <v>1000</v>
      </c>
      <c r="M11" s="13" t="e">
        <f>LOOKUP(1,0/((数据源!$A$2:$A$160=M5)*(数据源!$B$2:$B$160=M6)*(数据源!$C$2:$C$160=M7)),数据源!$G$2:$G$160)</f>
        <v>#N/A</v>
      </c>
      <c r="N11" s="13" t="e">
        <f>LOOKUP(1,0/((数据源!$A$2:$A$160=N5)*(数据源!$B$2:$B$160=N6)*(数据源!$C$2:$C$160=N7)),数据源!$G$2:$G$160)</f>
        <v>#N/A</v>
      </c>
      <c r="O11" s="13" t="e">
        <f>LOOKUP(1,0/((数据源!$A$2:$A$160=O5)*(数据源!$B$2:$B$160=O6)*(数据源!$C$2:$C$160=O7)),数据源!$G$2:$G$160)</f>
        <v>#N/A</v>
      </c>
      <c r="P11" s="13" t="e">
        <f>LOOKUP(1,0/((数据源!$A$2:$A$160=P5)*(数据源!$B$2:$B$160=P6)*(数据源!$C$2:$C$160=P7)),数据源!$G$2:$G$160)</f>
        <v>#N/A</v>
      </c>
      <c r="Q11" s="13">
        <f>LOOKUP(1,0/((数据源!$A$2:$A$160=Q5)*(数据源!$B$2:$B$160=Q6)*(数据源!$C$2:$C$160=Q7)),数据源!$G$2:$G$160)</f>
        <v>1000</v>
      </c>
      <c r="R11" s="13">
        <f>LOOKUP(1,0/((数据源!$A$2:$A$160=R5)*(数据源!$B$2:$B$160=R6)*(数据源!$C$2:$C$160=R7)),数据源!$G$2:$G$160)</f>
        <v>1000</v>
      </c>
      <c r="S11"/>
      <c r="T11"/>
      <c r="U11"/>
      <c r="V11"/>
      <c r="W11"/>
      <c r="X11"/>
      <c r="Y11"/>
    </row>
    <row r="12" spans="1:25" ht="17.25" thickTop="1" x14ac:dyDescent="0.15">
      <c r="A12" s="48">
        <f>M23</f>
        <v>-99.934574719691241</v>
      </c>
      <c r="B12" s="31" t="s">
        <v>5</v>
      </c>
      <c r="C12" s="32" t="s">
        <v>1</v>
      </c>
      <c r="D12" s="14">
        <f>IF(AND(D4&lt;&gt;FALSE,D8&lt;&gt;""),D8,"")</f>
        <v>-0.38</v>
      </c>
      <c r="E12" s="11">
        <f>IF(OR($D$4:E$4)=FALSE,"",IF(E$4=FALSE,D12,IF(OR($D$4:D4)=FALSE,E8,E8+D12)))</f>
        <v>-2.58</v>
      </c>
      <c r="F12" s="11">
        <f>IF(OR($D$4:F$4)=FALSE,"",IF(F$4=FALSE,E12,IF(OR($D$4:E4)=FALSE,F8,F8+E12)))</f>
        <v>-3.08</v>
      </c>
      <c r="G12" s="11">
        <f>IF(OR($D$4:G$4)=FALSE,"",IF(G$4=FALSE,F12,IF(OR($D$4:F4)=FALSE,G8,G8+F12)))</f>
        <v>52.92</v>
      </c>
      <c r="H12" s="11">
        <f>IF(OR($D$4:H$4)=FALSE,"",IF(H$4=FALSE,G12,IF(OR($D$4:G4)=FALSE,H8,H8+G12)))</f>
        <v>52.92</v>
      </c>
      <c r="I12" s="11">
        <f>IF(OR($D$4:I$4)=FALSE,"",IF(I$4=FALSE,H12,IF(OR($D$4:H4)=FALSE,I8,I8+H12)))</f>
        <v>52.92</v>
      </c>
      <c r="J12" s="11">
        <f>IF(OR($D$4:J$4)=FALSE,"",IF(J$4=FALSE,I12,IF(OR($D$4:I4)=FALSE,J8,J8+I12)))</f>
        <v>52.92</v>
      </c>
      <c r="K12" s="11">
        <f>IF(OR($D$4:K$4)=FALSE,"",IF(K$4=FALSE,J12,IF(OR($D$4:J4)=FALSE,K8,K8+J12)))</f>
        <v>52.92</v>
      </c>
      <c r="L12" s="11">
        <f>IF(OR($D$4:L$4)=FALSE,"",IF(L$4=FALSE,K12,IF(OR($D$4:K4)=FALSE,L8,L8+K12)))</f>
        <v>52.92</v>
      </c>
      <c r="M12" s="11">
        <f>IF(OR($D$4:M$4)=FALSE,"",IF(M$4=FALSE,L12,IF(OR($D$4:L4)=FALSE,M8,M8+L12)))</f>
        <v>52.92</v>
      </c>
      <c r="N12" s="11">
        <f>IF(OR($D$4:N$4)=FALSE,"",IF(N$4=FALSE,M12,IF(OR($D$4:M4)=FALSE,N8,N8+M12)))</f>
        <v>52.92</v>
      </c>
      <c r="O12" s="11">
        <f>IF(OR($D$4:O$4)=FALSE,"",IF(O$4=FALSE,N12,IF(OR($D$4:N4)=FALSE,O8,O8+N12)))</f>
        <v>52.92</v>
      </c>
      <c r="P12" s="11">
        <f>IF(OR($D$4:P$4)=FALSE,"",IF(P$4=FALSE,O12,IF(OR($D$4:O4)=FALSE,P8,P8+O12)))</f>
        <v>52.92</v>
      </c>
      <c r="Q12" s="11">
        <f>IF(OR($D$4:Q$4)=FALSE,"",IF(Q$4=FALSE,P12,IF(OR($D$4:P4)=FALSE,Q8,Q8+P12)))</f>
        <v>52.92</v>
      </c>
      <c r="R12" s="11">
        <f>IF(OR($D$4:R$4)=FALSE,"",IF(R$4=FALSE,Q12,IF(OR($D$4:Q4)=FALSE,R8,R8+Q12)))</f>
        <v>52.92</v>
      </c>
      <c r="S12"/>
      <c r="T12"/>
      <c r="U12"/>
      <c r="V12"/>
      <c r="W12"/>
      <c r="X12"/>
      <c r="Y12"/>
    </row>
    <row r="13" spans="1:25" x14ac:dyDescent="0.15">
      <c r="A13" s="6"/>
      <c r="B13" s="33" t="s">
        <v>6</v>
      </c>
      <c r="C13" s="34" t="s">
        <v>1</v>
      </c>
      <c r="D13" s="12">
        <f>IF(AND(D4&lt;&gt;FALSE,D9&lt;&gt;""),D9,"")</f>
        <v>0.38</v>
      </c>
      <c r="E13" s="10">
        <f>IF(OR($D$4:E$4)=FALSE,"",IF(E$4=FALSE,D13,IF(OR($D$4:D$4)=FALSE,E9,10*LOG(10^(D13/10)+(10^(E9/10)-1)/10^(D12/10)))))</f>
        <v>2.580000000000001</v>
      </c>
      <c r="F13" s="10">
        <f>IF(OR($D$4:F$4)=FALSE,"",IF(F$4=FALSE,E13,IF(OR($D$4:E$4)=FALSE,F9,10*LOG(10^(E13/10)+(10^(F9/10)-1)/10^(E12/10)))))</f>
        <v>3.0800000000000018</v>
      </c>
      <c r="G13" s="10">
        <f>IF(OR($D$4:G$4)=FALSE,"",IF(G$4=FALSE,F13,IF(OR($D$4:F$4)=FALSE,G9,10*LOG(10^(F13/10)+(10^(G9/10)-1)/10^(F12/10)))))</f>
        <v>5.3800000000000017</v>
      </c>
      <c r="H13" s="10">
        <f>IF(OR($D$4:H$4)=FALSE,"",IF(H$4=FALSE,G13,IF(OR($D$4:G$4)=FALSE,H9,10*LOG(10^(G13/10)+(10^(H9/10)-1)/10^(G12/10)))))</f>
        <v>5.3800000000000017</v>
      </c>
      <c r="I13" s="10">
        <f>IF(OR($D$4:I$4)=FALSE,"",IF(I$4=FALSE,H13,IF(OR($D$4:H$4)=FALSE,I9,10*LOG(10^(H13/10)+(10^(I9/10)-1)/10^(H12/10)))))</f>
        <v>5.3800000000000017</v>
      </c>
      <c r="J13" s="10">
        <f>IF(OR($D$4:J$4)=FALSE,"",IF(J$4=FALSE,I13,IF(OR($D$4:I$4)=FALSE,J9,10*LOG(10^(I13/10)+(10^(J9/10)-1)/10^(I12/10)))))</f>
        <v>5.3800000000000017</v>
      </c>
      <c r="K13" s="10">
        <f>IF(OR($D$4:K$4)=FALSE,"",IF(K$4=FALSE,J13,IF(OR($D$4:J$4)=FALSE,K9,10*LOG(10^(J13/10)+(10^(K9/10)-1)/10^(J12/10)))))</f>
        <v>5.3800000000000017</v>
      </c>
      <c r="L13" s="10">
        <f>IF(OR($D$4:L$4)=FALSE,"",IF(L$4=FALSE,K13,IF(OR($D$4:K$4)=FALSE,L9,10*LOG(10^(K13/10)+(10^(L9/10)-1)/10^(K12/10)))))</f>
        <v>5.3800000000000017</v>
      </c>
      <c r="M13" s="10">
        <f>IF(OR($D$4:M$4)=FALSE,"",IF(M$4=FALSE,L13,IF(OR($D$4:L$4)=FALSE,M9,10*LOG(10^(L13/10)+(10^(M9/10)-1)/10^(L12/10)))))</f>
        <v>5.3800000000000017</v>
      </c>
      <c r="N13" s="10">
        <f>IF(OR($D$4:N$4)=FALSE,"",IF(N$4=FALSE,M13,IF(OR($D$4:M$4)=FALSE,N9,10*LOG(10^(M13/10)+(10^(N9/10)-1)/10^(M12/10)))))</f>
        <v>5.3800000000000017</v>
      </c>
      <c r="O13" s="10">
        <f>IF(OR($D$4:O$4)=FALSE,"",IF(O$4=FALSE,N13,IF(OR($D$4:N$4)=FALSE,O9,10*LOG(10^(N13/10)+(10^(O9/10)-1)/10^(N12/10)))))</f>
        <v>5.3800000000000017</v>
      </c>
      <c r="P13" s="10">
        <f>IF(OR($D$4:P$4)=FALSE,"",IF(P$4=FALSE,O13,IF(OR($D$4:O$4)=FALSE,P9,10*LOG(10^(O13/10)+(10^(P9/10)-1)/10^(O12/10)))))</f>
        <v>5.3800000000000017</v>
      </c>
      <c r="Q13" s="10">
        <f>IF(OR($D$4:Q$4)=FALSE,"",IF(Q$4=FALSE,P13,IF(OR($D$4:P$4)=FALSE,Q9,10*LOG(10^(P13/10)+(10^(Q9/10)-1)/10^(P12/10)))))</f>
        <v>5.3800000000000017</v>
      </c>
      <c r="R13" s="10">
        <f>IF(OR($D$4:R$4)=FALSE,"",IF(R$4=FALSE,Q13,IF(OR($D$4:Q$4)=FALSE,R9,10*LOG(10^(Q13/10)+(10^(R9/10)-1)/10^(Q12/10)))))</f>
        <v>5.3800000000000017</v>
      </c>
      <c r="S13" s="6"/>
      <c r="T13" s="6"/>
      <c r="U13" s="6"/>
      <c r="V13" s="6"/>
    </row>
    <row r="14" spans="1:25" x14ac:dyDescent="0.15">
      <c r="A14" s="6"/>
      <c r="B14" s="33" t="s">
        <v>7</v>
      </c>
      <c r="C14" s="34" t="s">
        <v>3</v>
      </c>
      <c r="D14" s="12">
        <f>IF(AND(D4&lt;&gt;FALSE,D10&lt;&gt;""),D10,"")</f>
        <v>60</v>
      </c>
      <c r="E14" s="10">
        <f>IF(OR($D$4:E$4)=FALSE,"",IF(E$4=FALSE,D14,IF(OR($D$4:D$4)=FALSE,E10,10*LOG(1/(1/10^(E10/10)+1/(10^(D14/10)*10^(E8/10)))))))</f>
        <v>55.751858136517704</v>
      </c>
      <c r="F14" s="10">
        <f>IF(OR($D$4:F$4)=FALSE,"",IF(F$4=FALSE,E14,IF(OR($D$4:E$4)=FALSE,F10,10*LOG(1/(1/10^(F10/10)+1/(10^(E14/10)*10^(F8/10)))))))</f>
        <v>53.996691599657893</v>
      </c>
      <c r="G14" s="10">
        <f>IF(OR($D$4:G$4)=FALSE,"",IF(G$4=FALSE,F14,IF(OR($D$4:F$4)=FALSE,G10,10*LOG(1/(1/10^(G10/10)+1/(10^(F14/10)*10^(G8/10)))))))</f>
        <v>59.999956537672681</v>
      </c>
      <c r="H14" s="10">
        <f>IF(OR($D$4:H$4)=FALSE,"",IF(H$4=FALSE,G14,IF(OR($D$4:G$4)=FALSE,H10,10*LOG(1/(1/10^(H10/10)+1/(10^(G14/10)*10^(H8/10)))))))</f>
        <v>59.999956537672681</v>
      </c>
      <c r="I14" s="10">
        <f>IF(OR($D$4:I$4)=FALSE,"",IF(I$4=FALSE,H14,IF(OR($D$4:H$4)=FALSE,I10,10*LOG(1/(1/10^(I10/10)+1/(10^(H14/10)*10^(I8/10)))))))</f>
        <v>59.999956537672681</v>
      </c>
      <c r="J14" s="10">
        <f>IF(OR($D$4:J$4)=FALSE,"",IF(J$4=FALSE,I14,IF(OR($D$4:I$4)=FALSE,J10,10*LOG(1/(1/10^(J10/10)+1/(10^(I14/10)*10^(J8/10)))))))</f>
        <v>59.999956537672681</v>
      </c>
      <c r="K14" s="10">
        <f>IF(OR($D$4:K$4)=FALSE,"",IF(K$4=FALSE,J14,IF(OR($D$4:J$4)=FALSE,K10,10*LOG(1/(1/10^(K10/10)+1/(10^(J14/10)*10^(K8/10)))))))</f>
        <v>59.999956537672681</v>
      </c>
      <c r="L14" s="10">
        <f>IF(OR($D$4:L$4)=FALSE,"",IF(L$4=FALSE,K14,IF(OR($D$4:K$4)=FALSE,L10,10*LOG(1/(1/10^(L10/10)+1/(10^(K14/10)*10^(L8/10)))))))</f>
        <v>59.999956537672681</v>
      </c>
      <c r="M14" s="10">
        <f>IF(OR($D$4:M$4)=FALSE,"",IF(M$4=FALSE,L14,IF(OR($D$4:L$4)=FALSE,M10,10*LOG(1/(1/10^(M10/10)+1/(10^(L14/10)*10^(M8/10)))))))</f>
        <v>59.999956537672681</v>
      </c>
      <c r="N14" s="10">
        <f>IF(OR($D$4:N$4)=FALSE,"",IF(N$4=FALSE,M14,IF(OR($D$4:M$4)=FALSE,N10,10*LOG(1/(1/10^(N10/10)+1/(10^(M14/10)*10^(N8/10)))))))</f>
        <v>59.999956537672681</v>
      </c>
      <c r="O14" s="10">
        <f>IF(OR($D$4:O$4)=FALSE,"",IF(O$4=FALSE,N14,IF(OR($D$4:N$4)=FALSE,O10,10*LOG(1/(1/10^(O10/10)+1/(10^(N14/10)*10^(O8/10)))))))</f>
        <v>59.999956537672681</v>
      </c>
      <c r="P14" s="10">
        <f>IF(OR($D$4:P$4)=FALSE,"",IF(P$4=FALSE,O14,IF(OR($D$4:O$4)=FALSE,P10,10*LOG(1/(1/10^(P10/10)+1/(10^(O14/10)*10^(P8/10)))))))</f>
        <v>59.999956537672681</v>
      </c>
      <c r="Q14" s="10">
        <f>IF(OR($D$4:Q$4)=FALSE,"",IF(Q$4=FALSE,P14,IF(OR($D$4:P$4)=FALSE,Q10,10*LOG(1/(1/10^(Q10/10)+1/(10^(P14/10)*10^(Q8/10)))))))</f>
        <v>59.999956537672681</v>
      </c>
      <c r="R14" s="10">
        <f>IF(OR($D$4:R$4)=FALSE,"",IF(R$4=FALSE,Q14,IF(OR($D$4:Q$4)=FALSE,R10,10*LOG(1/(1/10^(R10/10)+1/(10^(Q14/10)*10^(R8/10)))))))</f>
        <v>59.999956537672681</v>
      </c>
      <c r="S14" s="6"/>
      <c r="T14" s="6"/>
      <c r="U14" s="6"/>
      <c r="V14" s="6"/>
    </row>
    <row r="15" spans="1:25" ht="17.25" thickBot="1" x14ac:dyDescent="0.2">
      <c r="A15" s="6"/>
      <c r="B15" s="35" t="s">
        <v>36</v>
      </c>
      <c r="C15" s="36" t="s">
        <v>3</v>
      </c>
      <c r="D15" s="22">
        <f>IF(AND(D4&lt;&gt;FALSE,D11&lt;&gt;""),D11,"")</f>
        <v>60</v>
      </c>
      <c r="E15" s="16">
        <f>IF(OR($D$4:E$4)=FALSE,"",IF(E$4=FALSE,D15,IF(OR($D$4:D$4)=FALSE,E11,10*LOG(1/(1/10^(E11/10)+1/(10^(D15/10)*10^(E8/10)))))))</f>
        <v>55.751858136517704</v>
      </c>
      <c r="F15" s="16">
        <f>IF(OR($D$4:F$4)=FALSE,"",IF(F$4=FALSE,E15,IF(OR($D$4:E$4)=FALSE,F11,10*LOG(1/(1/10^(F11/10)+1/(10^(E15/10)*10^(F8/10)))))))</f>
        <v>53.996691599657893</v>
      </c>
      <c r="G15" s="16">
        <f>IF(OR($D$4:G$4)=FALSE,"",IF(G$4=FALSE,F15,IF(OR($D$4:F$4)=FALSE,G11,10*LOG(1/(1/10^(G11/10)+1/(10^(F15/10)*10^(G8/10)))))))</f>
        <v>59.999956537672681</v>
      </c>
      <c r="H15" s="16">
        <f>IF(OR($D$4:H$4)=FALSE,"",IF(H$4=FALSE,G15,IF(OR($D$4:G$4)=FALSE,H11,10*LOG(1/(1/10^(H11/10)+1/(10^(G15/10)*10^(H8/10)))))))</f>
        <v>59.999956537672681</v>
      </c>
      <c r="I15" s="16">
        <f>IF(OR($D$4:I$4)=FALSE,"",IF(I$4=FALSE,H15,IF(OR($D$4:H$4)=FALSE,I11,10*LOG(1/(1/10^(I11/10)+1/(10^(H15/10)*10^(I8/10)))))))</f>
        <v>59.999956537672681</v>
      </c>
      <c r="J15" s="16">
        <f>IF(OR($D$4:J$4)=FALSE,"",IF(J$4=FALSE,I15,IF(OR($D$4:I$4)=FALSE,J11,10*LOG(1/(1/10^(J11/10)+1/(10^(I15/10)*10^(J8/10)))))))</f>
        <v>59.999956537672681</v>
      </c>
      <c r="K15" s="16">
        <f>IF(OR($D$4:K$4)=FALSE,"",IF(K$4=FALSE,J15,IF(OR($D$4:J$4)=FALSE,K11,10*LOG(1/(1/10^(K11/10)+1/(10^(J15/10)*10^(K8/10)))))))</f>
        <v>59.999956537672681</v>
      </c>
      <c r="L15" s="16">
        <f>IF(OR($D$4:L$4)=FALSE,"",IF(L$4=FALSE,K15,IF(OR($D$4:K$4)=FALSE,L11,10*LOG(1/(1/10^(L11/10)+1/(10^(K15/10)*10^(L8/10)))))))</f>
        <v>59.999956537672681</v>
      </c>
      <c r="M15" s="16">
        <f>IF(OR($D$4:M$4)=FALSE,"",IF(M$4=FALSE,L15,IF(OR($D$4:L$4)=FALSE,M11,10*LOG(1/(1/10^(M11/10)+1/(10^(L15/10)*10^(M8/10)))))))</f>
        <v>59.999956537672681</v>
      </c>
      <c r="N15" s="16">
        <f>IF(OR($D$4:N$4)=FALSE,"",IF(N$4=FALSE,M15,IF(OR($D$4:M$4)=FALSE,N11,10*LOG(1/(1/10^(N11/10)+1/(10^(M15/10)*10^(N8/10)))))))</f>
        <v>59.999956537672681</v>
      </c>
      <c r="O15" s="16">
        <f>IF(OR($D$4:O$4)=FALSE,"",IF(O$4=FALSE,N15,IF(OR($D$4:N$4)=FALSE,O11,10*LOG(1/(1/10^(O11/10)+1/(10^(N15/10)*10^(O8/10)))))))</f>
        <v>59.999956537672681</v>
      </c>
      <c r="P15" s="16">
        <f>IF(OR($D$4:P$4)=FALSE,"",IF(P$4=FALSE,O15,IF(OR($D$4:O$4)=FALSE,P11,10*LOG(1/(1/10^(P11/10)+1/(10^(O15/10)*10^(P8/10)))))))</f>
        <v>59.999956537672681</v>
      </c>
      <c r="Q15" s="16">
        <f>IF(OR($D$4:Q$4)=FALSE,"",IF(Q$4=FALSE,P15,IF(OR($D$4:P$4)=FALSE,Q11,10*LOG(1/(1/10^(Q11/10)+1/(10^(P15/10)*10^(Q8/10)))))))</f>
        <v>59.999956537672681</v>
      </c>
      <c r="R15" s="16">
        <f>IF(OR($D$4:R$4)=FALSE,"",IF(R$4=FALSE,Q15,IF(OR($D$4:Q$4)=FALSE,R11,10*LOG(1/(1/10^(R11/10)+1/(10^(Q15/10)*10^(R8/10)))))))</f>
        <v>59.999956537672681</v>
      </c>
      <c r="S15" s="6"/>
      <c r="T15" s="6"/>
      <c r="U15" s="6"/>
      <c r="V15" s="6"/>
    </row>
    <row r="16" spans="1:25" ht="17.25" thickTop="1" x14ac:dyDescent="0.15">
      <c r="A16" s="6"/>
      <c r="B16" s="37" t="s">
        <v>37</v>
      </c>
      <c r="C16" s="38" t="s">
        <v>3</v>
      </c>
      <c r="D16" s="14">
        <f>IF(AND(D4&lt;&gt;FALSE,G23&lt;&gt;""),G23,"")</f>
        <v>-50</v>
      </c>
      <c r="E16" s="11">
        <f>IF(OR($D$4:E$4)=FALSE,"",IF(E$4=FALSE,D16,IF(OR($D$4:D$4)=FALSE,$G$23,D17)))</f>
        <v>-50.38</v>
      </c>
      <c r="F16" s="11">
        <f>IF(OR($D$4:F$4)=FALSE,"",IF(F$4=FALSE,E16,IF(OR($D$4:E$4)=FALSE,$G$23,E17)))</f>
        <v>-52.580000000000005</v>
      </c>
      <c r="G16" s="11">
        <f>IF(OR($D$4:G$4)=FALSE,"",IF(G$4=FALSE,F16,IF(OR($D$4:F$4)=FALSE,$G$23,F17)))</f>
        <v>-53.080000000000005</v>
      </c>
      <c r="H16" s="11">
        <f>IF(OR($D$4:H$4)=FALSE,"",IF(H$4=FALSE,G16,IF(OR($D$4:G$4)=FALSE,$G$23,G17)))</f>
        <v>-53.080000000000005</v>
      </c>
      <c r="I16" s="11">
        <f>IF(OR($D$4:I$4)=FALSE,"",IF(I$4=FALSE,H16,IF(OR($D$4:H$4)=FALSE,$G$23,H17)))</f>
        <v>-53.080000000000005</v>
      </c>
      <c r="J16" s="11">
        <f>IF(OR($D$4:J$4)=FALSE,"",IF(J$4=FALSE,I16,IF(OR($D$4:I$4)=FALSE,$G$23,I17)))</f>
        <v>-53.080000000000005</v>
      </c>
      <c r="K16" s="11">
        <f>IF(OR($D$4:K$4)=FALSE,"",IF(K$4=FALSE,J16,IF(OR($D$4:J$4)=FALSE,$G$23,J17)))</f>
        <v>-53.080000000000005</v>
      </c>
      <c r="L16" s="11">
        <f>IF(OR($D$4:L$4)=FALSE,"",IF(L$4=FALSE,K16,IF(OR($D$4:K$4)=FALSE,$G$23,K17)))</f>
        <v>-53.080000000000005</v>
      </c>
      <c r="M16" s="11">
        <f>IF(OR($D$4:M$4)=FALSE,"",IF(M$4=FALSE,L16,IF(OR($D$4:L$4)=FALSE,$G$23,L17)))</f>
        <v>-53.080000000000005</v>
      </c>
      <c r="N16" s="11">
        <f>IF(OR($D$4:N$4)=FALSE,"",IF(N$4=FALSE,M16,IF(OR($D$4:M$4)=FALSE,$G$23,M17)))</f>
        <v>-53.080000000000005</v>
      </c>
      <c r="O16" s="11">
        <f>IF(OR($D$4:O$4)=FALSE,"",IF(O$4=FALSE,N16,IF(OR($D$4:N$4)=FALSE,$G$23,N17)))</f>
        <v>-53.080000000000005</v>
      </c>
      <c r="P16" s="11">
        <f>IF(OR($D$4:P$4)=FALSE,"",IF(P$4=FALSE,O16,IF(OR($D$4:O$4)=FALSE,$G$23,O17)))</f>
        <v>-53.080000000000005</v>
      </c>
      <c r="Q16" s="11">
        <f>IF(OR($D$4:Q$4)=FALSE,"",IF(Q$4=FALSE,P16,IF(OR($D$4:P$4)=FALSE,$G$23,P17)))</f>
        <v>-53.080000000000005</v>
      </c>
      <c r="R16" s="11">
        <f>IF(OR($D$4:R$4)=FALSE,"",IF(R$4=FALSE,Q16,IF(OR($D$4:Q$4)=FALSE,$G$23,Q17)))</f>
        <v>-53.080000000000005</v>
      </c>
      <c r="S16" s="6"/>
      <c r="T16" s="6"/>
      <c r="U16" s="6"/>
      <c r="V16" s="6"/>
    </row>
    <row r="17" spans="1:22" x14ac:dyDescent="0.15">
      <c r="A17" s="6"/>
      <c r="B17" s="25" t="s">
        <v>8</v>
      </c>
      <c r="C17" s="26" t="s">
        <v>3</v>
      </c>
      <c r="D17" s="12">
        <f>IF(AND(D4&lt;&gt;FALSE,D8&lt;&gt;"",D16&lt;&gt;""),D16+D8,"")</f>
        <v>-50.38</v>
      </c>
      <c r="E17" s="10">
        <f>IF(AND(E4&lt;&gt;FALSE,E16&lt;&gt;"",E16&lt;&gt;""),E8+E16,D17)</f>
        <v>-52.580000000000005</v>
      </c>
      <c r="F17" s="10">
        <f t="shared" ref="F17:M17" si="0">IF(AND(F4&lt;&gt;FALSE,F16&lt;&gt;"",F16&lt;&gt;""),F8+F16,E17)</f>
        <v>-53.080000000000005</v>
      </c>
      <c r="G17" s="10">
        <f t="shared" si="0"/>
        <v>2.9199999999999946</v>
      </c>
      <c r="H17" s="10">
        <f t="shared" si="0"/>
        <v>2.9199999999999946</v>
      </c>
      <c r="I17" s="10">
        <f t="shared" si="0"/>
        <v>2.9199999999999946</v>
      </c>
      <c r="J17" s="10">
        <f t="shared" si="0"/>
        <v>2.9199999999999946</v>
      </c>
      <c r="K17" s="10">
        <f t="shared" si="0"/>
        <v>2.9199999999999946</v>
      </c>
      <c r="L17" s="10">
        <f t="shared" si="0"/>
        <v>2.9199999999999946</v>
      </c>
      <c r="M17" s="10">
        <f t="shared" si="0"/>
        <v>2.9199999999999946</v>
      </c>
      <c r="N17" s="10">
        <f>IF(AND(N4&lt;&gt;FALSE,N16&lt;&gt;"",N16&lt;&gt;""),N8+N16,M17)</f>
        <v>2.9199999999999946</v>
      </c>
      <c r="O17" s="10">
        <f>IF(AND(O4&lt;&gt;FALSE,O16&lt;&gt;"",O16&lt;&gt;""),O8+O16,N17)</f>
        <v>2.9199999999999946</v>
      </c>
      <c r="P17" s="10">
        <f>IF(AND(P4&lt;&gt;FALSE,P16&lt;&gt;"",P16&lt;&gt;""),P8+P16,O17)</f>
        <v>2.9199999999999946</v>
      </c>
      <c r="Q17" s="10">
        <f>IF(AND(Q4&lt;&gt;FALSE,Q16&lt;&gt;"",Q16&lt;&gt;""),Q8+Q16,P17)</f>
        <v>2.9199999999999946</v>
      </c>
      <c r="R17" s="10">
        <f>IF(AND(R4&lt;&gt;FALSE,R16&lt;&gt;"",R16&lt;&gt;""),R8+R16,Q17)</f>
        <v>2.9199999999999946</v>
      </c>
      <c r="S17" s="6"/>
      <c r="T17" s="6"/>
      <c r="U17" s="6"/>
      <c r="V17" s="6"/>
    </row>
    <row r="18" spans="1:22" x14ac:dyDescent="0.15">
      <c r="A18" s="6"/>
      <c r="B18" s="27" t="s">
        <v>9</v>
      </c>
      <c r="C18" s="28" t="s">
        <v>1</v>
      </c>
      <c r="D18" s="12">
        <f>IF(AND(D4&lt;&gt;FALSE,D10&lt;&gt;"",D17&lt;&gt;""),D10-D17,"")</f>
        <v>110.38</v>
      </c>
      <c r="E18" s="10">
        <f>IF(AND(E4&lt;&gt;FALSE,E10&lt;&gt;"",E17&lt;&gt;""),E10-E17,D18)</f>
        <v>112.58000000000001</v>
      </c>
      <c r="F18" s="10">
        <f t="shared" ref="F18:M18" si="1">IF(AND(F4&lt;&gt;FALSE,F10&lt;&gt;"",F17&lt;&gt;""),F10-F17,E18)</f>
        <v>113.08000000000001</v>
      </c>
      <c r="G18" s="10">
        <f t="shared" si="1"/>
        <v>57.080000000000005</v>
      </c>
      <c r="H18" s="10">
        <f t="shared" si="1"/>
        <v>57.080000000000005</v>
      </c>
      <c r="I18" s="10">
        <f t="shared" si="1"/>
        <v>57.080000000000005</v>
      </c>
      <c r="J18" s="10">
        <f t="shared" si="1"/>
        <v>57.080000000000005</v>
      </c>
      <c r="K18" s="10">
        <f t="shared" si="1"/>
        <v>57.080000000000005</v>
      </c>
      <c r="L18" s="10">
        <f t="shared" si="1"/>
        <v>57.080000000000005</v>
      </c>
      <c r="M18" s="10" t="e">
        <f t="shared" si="1"/>
        <v>#N/A</v>
      </c>
      <c r="N18" s="10" t="e">
        <f>IF(AND(N4&lt;&gt;FALSE,N10&lt;&gt;"",N17&lt;&gt;""),N10-N17,M18)</f>
        <v>#N/A</v>
      </c>
      <c r="O18" s="10" t="e">
        <f>IF(AND(O4&lt;&gt;FALSE,O10&lt;&gt;"",O17&lt;&gt;""),O10-O17,N18)</f>
        <v>#N/A</v>
      </c>
      <c r="P18" s="10" t="e">
        <f>IF(AND(P4&lt;&gt;FALSE,P10&lt;&gt;"",P17&lt;&gt;""),P10-P17,O18)</f>
        <v>#N/A</v>
      </c>
      <c r="Q18" s="10" t="e">
        <f>IF(AND(Q4&lt;&gt;FALSE,Q10&lt;&gt;"",Q17&lt;&gt;""),Q10-Q17,P18)</f>
        <v>#N/A</v>
      </c>
      <c r="R18" s="10" t="e">
        <f>IF(AND(R4&lt;&gt;FALSE,R10&lt;&gt;"",R17&lt;&gt;""),R10-R17,Q18)</f>
        <v>#N/A</v>
      </c>
      <c r="S18" s="6"/>
      <c r="T18" s="6"/>
      <c r="U18" s="6"/>
      <c r="V18" s="6"/>
    </row>
    <row r="19" spans="1:22" x14ac:dyDescent="0.15">
      <c r="A19" s="6"/>
      <c r="B19" s="25" t="s">
        <v>10</v>
      </c>
      <c r="C19" s="26" t="s">
        <v>42</v>
      </c>
      <c r="D19" s="12">
        <f>IF(AND(D4&lt;&gt;FALSE,D15&lt;&gt;"",D17&lt;&gt;""),2*(D15-D17),"")</f>
        <v>220.76</v>
      </c>
      <c r="E19" s="10">
        <f>IF(AND(E4&lt;&gt;FALSE,E15&lt;&gt;"",E17&lt;&gt;""),2*(E15-E17),D19)</f>
        <v>216.66371627303542</v>
      </c>
      <c r="F19" s="10">
        <f>IF(AND(F4&lt;&gt;FALSE,F15&lt;&gt;"",F17&lt;&gt;""),2*(F15-F17),E19)</f>
        <v>214.15338319931578</v>
      </c>
      <c r="G19" s="10">
        <f>IF(AND(G4&lt;&gt;FALSE,G15&lt;&gt;"",G17&lt;&gt;""),2*(G15-G17),F19)</f>
        <v>114.15991307534537</v>
      </c>
      <c r="H19" s="10">
        <f>IF(AND(H4&lt;&gt;FALSE,H15&lt;&gt;"",H17&lt;&gt;""),2*(H15-H17),G19)</f>
        <v>114.15991307534537</v>
      </c>
      <c r="I19" s="10">
        <f t="shared" ref="I19:R19" si="2">IF(AND(I4&lt;&gt;FALSE,I15&lt;&gt;"",I17&lt;&gt;""),2*(I15-I17),H19)</f>
        <v>114.15991307534537</v>
      </c>
      <c r="J19" s="10">
        <f t="shared" si="2"/>
        <v>114.15991307534537</v>
      </c>
      <c r="K19" s="10">
        <f t="shared" si="2"/>
        <v>114.15991307534537</v>
      </c>
      <c r="L19" s="10">
        <f t="shared" si="2"/>
        <v>114.15991307534537</v>
      </c>
      <c r="M19" s="10">
        <f t="shared" si="2"/>
        <v>114.15991307534537</v>
      </c>
      <c r="N19" s="10">
        <f t="shared" si="2"/>
        <v>114.15991307534537</v>
      </c>
      <c r="O19" s="10">
        <f t="shared" si="2"/>
        <v>114.15991307534537</v>
      </c>
      <c r="P19" s="10">
        <f t="shared" si="2"/>
        <v>114.15991307534537</v>
      </c>
      <c r="Q19" s="10">
        <f t="shared" si="2"/>
        <v>114.15991307534537</v>
      </c>
      <c r="R19" s="10">
        <f t="shared" si="2"/>
        <v>114.15991307534537</v>
      </c>
      <c r="S19" s="6"/>
      <c r="T19" s="6"/>
      <c r="U19" s="6"/>
      <c r="V19" s="6"/>
    </row>
    <row r="20" spans="1:22" x14ac:dyDescent="0.15">
      <c r="A20" s="6"/>
      <c r="B20" s="39" t="s">
        <v>13</v>
      </c>
      <c r="C20" s="40" t="s">
        <v>1</v>
      </c>
      <c r="D20" s="12">
        <f>IF(AND(D4&lt;&gt;FALSE,D15&lt;&gt;"",D17&lt;&gt;"",$G$28&lt;&gt;""),-20.75+1.6*$G$28+2*(D17-D15),"")</f>
        <v>-225.51</v>
      </c>
      <c r="E20" s="10">
        <f>IF(AND(E4&lt;&gt;FALSE,E15&lt;&gt;"",E17&lt;&gt;"",$G$28&lt;&gt;""),-20.75+1.6*$G$28+2*(E17-E15),D20)</f>
        <v>-221.41371627303542</v>
      </c>
      <c r="F20" s="10">
        <f t="shared" ref="F20:M20" si="3">IF(AND(F4&lt;&gt;FALSE,F15&lt;&gt;"",F17&lt;&gt;"",$G$28&lt;&gt;""),-20.75+1.6*$G$28+2*(F17-F15),E20)</f>
        <v>-218.90338319931578</v>
      </c>
      <c r="G20" s="10">
        <f t="shared" si="3"/>
        <v>-118.90991307534537</v>
      </c>
      <c r="H20" s="10">
        <f t="shared" si="3"/>
        <v>-118.90991307534537</v>
      </c>
      <c r="I20" s="10">
        <f t="shared" si="3"/>
        <v>-118.90991307534537</v>
      </c>
      <c r="J20" s="10">
        <f t="shared" si="3"/>
        <v>-118.90991307534537</v>
      </c>
      <c r="K20" s="10">
        <f t="shared" si="3"/>
        <v>-118.90991307534537</v>
      </c>
      <c r="L20" s="10">
        <f t="shared" si="3"/>
        <v>-118.90991307534537</v>
      </c>
      <c r="M20" s="10">
        <f t="shared" si="3"/>
        <v>-118.90991307534537</v>
      </c>
      <c r="N20" s="10">
        <f>IF(AND(N4&lt;&gt;FALSE,N15&lt;&gt;"",N17&lt;&gt;"",$G$28&lt;&gt;""),-20.75+1.6*$G$28+2*(N17-N15),M20)</f>
        <v>-118.90991307534537</v>
      </c>
      <c r="O20" s="10">
        <f>IF(AND(O4&lt;&gt;FALSE,O15&lt;&gt;"",O17&lt;&gt;"",$G$28&lt;&gt;""),-20.75+1.6*$G$28+2*(O17-O15),N20)</f>
        <v>-118.90991307534537</v>
      </c>
      <c r="P20" s="10">
        <f>IF(AND(P4&lt;&gt;FALSE,P15&lt;&gt;"",P17&lt;&gt;"",$G$28&lt;&gt;""),-20.75+1.6*$G$28+2*(P17-P15),O20)</f>
        <v>-118.90991307534537</v>
      </c>
      <c r="Q20" s="10">
        <f>IF(AND(Q4&lt;&gt;FALSE,Q15&lt;&gt;"",Q17&lt;&gt;"",$G$28&lt;&gt;""),-20.75+1.6*$G$28+2*(Q17-Q15),P20)</f>
        <v>-118.90991307534537</v>
      </c>
      <c r="R20" s="10">
        <f>IF(AND(R4&lt;&gt;FALSE,R15&lt;&gt;"",R17&lt;&gt;"",$G$28&lt;&gt;""),-20.75+1.6*$G$28+2*(R17-R15),Q20)</f>
        <v>-118.90991307534537</v>
      </c>
      <c r="S20" s="6"/>
      <c r="T20" s="6"/>
      <c r="U20" s="6"/>
      <c r="V20" s="6"/>
    </row>
    <row r="21" spans="1:22" x14ac:dyDescent="0.15">
      <c r="A21" s="6"/>
      <c r="B21" s="7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</row>
    <row r="22" spans="1:22" x14ac:dyDescent="0.15">
      <c r="A22" s="6"/>
      <c r="B22"/>
      <c r="C22"/>
      <c r="D22" s="74" t="s">
        <v>11</v>
      </c>
      <c r="E22" s="74"/>
      <c r="F22" s="74"/>
      <c r="G22" s="74"/>
      <c r="H22" s="17"/>
      <c r="I22" s="68" t="s">
        <v>48</v>
      </c>
      <c r="J22" s="69"/>
      <c r="K22" s="69"/>
      <c r="L22" s="69"/>
      <c r="M22" s="70"/>
      <c r="N22" s="6"/>
      <c r="O22" s="65" t="s">
        <v>19</v>
      </c>
      <c r="P22" s="66"/>
      <c r="Q22" s="66"/>
      <c r="R22" s="67"/>
      <c r="S22" s="6"/>
      <c r="T22" s="6"/>
      <c r="U22" s="6"/>
      <c r="V22" s="6"/>
    </row>
    <row r="23" spans="1:22" x14ac:dyDescent="0.15">
      <c r="A23" s="6"/>
      <c r="B23"/>
      <c r="C23"/>
      <c r="D23" s="75" t="s">
        <v>37</v>
      </c>
      <c r="E23" s="75"/>
      <c r="F23" s="19" t="s">
        <v>3</v>
      </c>
      <c r="G23" s="20">
        <v>-50</v>
      </c>
      <c r="H23" s="6"/>
      <c r="I23" s="74" t="s">
        <v>16</v>
      </c>
      <c r="J23" s="74"/>
      <c r="K23" s="74"/>
      <c r="L23" s="19" t="s">
        <v>3</v>
      </c>
      <c r="M23" s="12">
        <f>IF(AND(G25&lt;&gt;"",G27&lt;&gt;"",G26&lt;&gt;""),10*LOG(1.3806505*10^(-20)*G25*10^6*G27)+LOOKUP(9E+307,13:13)+G26,"")</f>
        <v>-99.934574719691241</v>
      </c>
      <c r="N23" s="6"/>
      <c r="O23" s="76" t="s">
        <v>21</v>
      </c>
      <c r="P23" s="77"/>
      <c r="Q23" s="77"/>
      <c r="R23" s="78"/>
      <c r="S23" s="6"/>
      <c r="T23" s="6"/>
      <c r="U23" s="6"/>
      <c r="V23" s="6"/>
    </row>
    <row r="24" spans="1:22" x14ac:dyDescent="0.15">
      <c r="A24" s="6"/>
      <c r="B24"/>
      <c r="C24"/>
      <c r="D24" s="75" t="s">
        <v>14</v>
      </c>
      <c r="E24" s="75"/>
      <c r="F24" s="19" t="s">
        <v>1</v>
      </c>
      <c r="G24" s="20">
        <v>10</v>
      </c>
      <c r="H24" s="6"/>
      <c r="I24" s="74" t="s">
        <v>17</v>
      </c>
      <c r="J24" s="74"/>
      <c r="K24" s="74"/>
      <c r="L24" s="19" t="s">
        <v>49</v>
      </c>
      <c r="M24" s="12">
        <f>IF(AND(G27&lt;&gt;""),10*LOG(1.3806505*10^(-20)*G27)+LOOKUP(9E+307,13:13),"")</f>
        <v>-168.47699981408448</v>
      </c>
      <c r="N24" s="6"/>
      <c r="O24" s="76" t="s">
        <v>51</v>
      </c>
      <c r="P24" s="77"/>
      <c r="Q24" s="77"/>
      <c r="R24" s="78"/>
      <c r="S24" s="6"/>
      <c r="T24" s="6"/>
      <c r="U24" s="6"/>
      <c r="V24" s="6"/>
    </row>
    <row r="25" spans="1:22" x14ac:dyDescent="0.15">
      <c r="A25" s="6"/>
      <c r="B25"/>
      <c r="C25"/>
      <c r="D25" s="75" t="s">
        <v>43</v>
      </c>
      <c r="E25" s="75"/>
      <c r="F25" s="19" t="s">
        <v>25</v>
      </c>
      <c r="G25" s="20">
        <v>9</v>
      </c>
      <c r="H25" s="6"/>
      <c r="I25" s="74" t="s">
        <v>22</v>
      </c>
      <c r="J25" s="74"/>
      <c r="K25" s="74"/>
      <c r="L25" s="19" t="s">
        <v>20</v>
      </c>
      <c r="M25" s="12">
        <f>IF(AND(M24&lt;&gt;""),M24+LOOKUP(9E+307,12:12),"")</f>
        <v>-115.55699981408448</v>
      </c>
      <c r="N25" s="6"/>
      <c r="O25" s="76" t="s">
        <v>33</v>
      </c>
      <c r="P25" s="77"/>
      <c r="Q25" s="77"/>
      <c r="R25" s="78"/>
      <c r="S25" s="6"/>
      <c r="T25" s="6"/>
      <c r="U25" s="6"/>
      <c r="V25" s="6"/>
    </row>
    <row r="26" spans="1:22" x14ac:dyDescent="0.15">
      <c r="A26" s="6"/>
      <c r="B26"/>
      <c r="C26"/>
      <c r="D26" s="75" t="s">
        <v>44</v>
      </c>
      <c r="E26" s="75"/>
      <c r="F26" s="19" t="s">
        <v>1</v>
      </c>
      <c r="G26" s="20">
        <v>-1</v>
      </c>
      <c r="H26" s="6"/>
      <c r="I26" s="74" t="s">
        <v>15</v>
      </c>
      <c r="J26" s="74"/>
      <c r="K26" s="74"/>
      <c r="L26" s="19" t="s">
        <v>20</v>
      </c>
      <c r="M26" s="12">
        <f>IF(AND(G25&lt;&gt;"",G27&lt;&gt;""),10*LOG(1.3806505*10^(-20)*G25*10^6*G27)+LOOKUP(9E+307,13:13),"")</f>
        <v>-98.934574719691241</v>
      </c>
      <c r="N26" s="6"/>
      <c r="O26" s="76" t="s">
        <v>34</v>
      </c>
      <c r="P26" s="77"/>
      <c r="Q26" s="77"/>
      <c r="R26" s="78"/>
      <c r="S26" s="6"/>
      <c r="T26" s="6"/>
      <c r="U26" s="6"/>
      <c r="V26" s="6"/>
    </row>
    <row r="27" spans="1:22" x14ac:dyDescent="0.15">
      <c r="A27" s="6"/>
      <c r="B27"/>
      <c r="C27"/>
      <c r="D27" s="75" t="s">
        <v>45</v>
      </c>
      <c r="E27" s="75"/>
      <c r="F27" s="19" t="s">
        <v>46</v>
      </c>
      <c r="G27" s="20">
        <v>298</v>
      </c>
      <c r="H27" s="6"/>
      <c r="I27" s="74" t="s">
        <v>18</v>
      </c>
      <c r="J27" s="74"/>
      <c r="K27" s="74"/>
      <c r="L27" s="19" t="s">
        <v>20</v>
      </c>
      <c r="M27" s="12">
        <f>IF(AND(M26&lt;&gt;""),M26+LOOKUP(9E+307,12:12),"")</f>
        <v>-46.01457471969124</v>
      </c>
      <c r="N27" s="6"/>
      <c r="O27" s="76" t="s">
        <v>23</v>
      </c>
      <c r="P27" s="77"/>
      <c r="Q27" s="77"/>
      <c r="R27" s="78"/>
      <c r="S27" s="6"/>
      <c r="T27" s="6"/>
      <c r="U27" s="6"/>
      <c r="V27" s="6"/>
    </row>
    <row r="28" spans="1:22" x14ac:dyDescent="0.15">
      <c r="A28" s="6"/>
      <c r="B28"/>
      <c r="C28"/>
      <c r="D28" s="75" t="s">
        <v>12</v>
      </c>
      <c r="E28" s="75"/>
      <c r="F28" s="19" t="s">
        <v>1</v>
      </c>
      <c r="G28" s="20">
        <v>10</v>
      </c>
      <c r="H28" s="6"/>
      <c r="I28" s="74" t="s">
        <v>50</v>
      </c>
      <c r="J28" s="74"/>
      <c r="K28" s="74"/>
      <c r="L28" s="19" t="s">
        <v>1</v>
      </c>
      <c r="M28" s="12">
        <f>G23-M26</f>
        <v>48.934574719691241</v>
      </c>
      <c r="N28" s="6"/>
      <c r="O28" s="76" t="s">
        <v>35</v>
      </c>
      <c r="P28" s="77"/>
      <c r="Q28" s="77"/>
      <c r="R28" s="78"/>
      <c r="S28" s="6"/>
      <c r="T28" s="6"/>
      <c r="U28" s="6"/>
      <c r="V28" s="6"/>
    </row>
    <row r="29" spans="1:22" x14ac:dyDescent="0.15">
      <c r="A29" s="6"/>
      <c r="B29"/>
      <c r="C29"/>
      <c r="D29" s="75" t="s">
        <v>28</v>
      </c>
      <c r="E29" s="75"/>
      <c r="F29" s="19"/>
      <c r="G29" s="20" t="s">
        <v>26</v>
      </c>
      <c r="H29" s="9"/>
      <c r="I29" s="74" t="s">
        <v>27</v>
      </c>
      <c r="J29" s="74"/>
      <c r="K29" s="74"/>
      <c r="L29" s="19"/>
      <c r="M29" s="18" t="str">
        <f>IF(G29="是",IF(LOOKUP(9E+307,17:17)&gt;G31,"起控","未起控"),"无效")</f>
        <v>未起控</v>
      </c>
      <c r="N29" s="8"/>
      <c r="O29" s="8"/>
      <c r="P29" s="8"/>
      <c r="Q29" s="8"/>
      <c r="R29" s="8"/>
      <c r="S29" s="8"/>
      <c r="T29" s="8"/>
      <c r="U29" s="8"/>
      <c r="V29" s="6"/>
    </row>
    <row r="30" spans="1:22" s="3" customFormat="1" x14ac:dyDescent="0.15">
      <c r="A30" s="8"/>
      <c r="B30" s="8"/>
      <c r="C30" s="6"/>
      <c r="D30" s="75" t="s">
        <v>60</v>
      </c>
      <c r="E30" s="75"/>
      <c r="F30" s="19"/>
      <c r="G30" s="20">
        <v>6</v>
      </c>
      <c r="H30" s="8"/>
      <c r="I30" s="74" t="s">
        <v>32</v>
      </c>
      <c r="J30" s="74"/>
      <c r="K30" s="74"/>
      <c r="L30" s="19" t="s">
        <v>1</v>
      </c>
      <c r="M30" s="12">
        <f>LOOKUP(9E+307,17:17)-G31</f>
        <v>-14.080000000000005</v>
      </c>
      <c r="N30" s="8"/>
      <c r="O30" s="8"/>
      <c r="P30" s="8"/>
      <c r="Q30" s="8"/>
      <c r="R30" s="8"/>
      <c r="S30" s="8"/>
      <c r="T30" s="8"/>
      <c r="U30" s="8"/>
      <c r="V30" s="8"/>
    </row>
    <row r="31" spans="1:22" s="3" customFormat="1" x14ac:dyDescent="0.15">
      <c r="A31" s="8"/>
      <c r="B31" s="8"/>
      <c r="C31" s="6"/>
      <c r="D31" s="75" t="s">
        <v>47</v>
      </c>
      <c r="E31" s="75"/>
      <c r="F31" s="19" t="s">
        <v>3</v>
      </c>
      <c r="G31" s="20">
        <v>17</v>
      </c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</row>
    <row r="32" spans="1:22" s="3" customFormat="1" x14ac:dyDescent="0.15">
      <c r="A32" s="8"/>
      <c r="B32" s="8"/>
      <c r="C32" s="6"/>
      <c r="D32" s="8" t="s">
        <v>68</v>
      </c>
      <c r="E32" s="8"/>
      <c r="F32" s="8"/>
      <c r="G32" s="6">
        <v>65</v>
      </c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</row>
    <row r="33" spans="1:22" s="3" customFormat="1" x14ac:dyDescent="0.15">
      <c r="A33" s="8"/>
      <c r="B33" s="8"/>
      <c r="C33" s="6"/>
      <c r="D33"/>
      <c r="E33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</row>
    <row r="34" spans="1:22" s="3" customFormat="1" x14ac:dyDescent="0.15">
      <c r="A34" s="8"/>
      <c r="B34" s="8"/>
      <c r="C34" s="6"/>
      <c r="D34"/>
      <c r="E34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</row>
    <row r="35" spans="1:22" s="3" customFormat="1" x14ac:dyDescent="0.15">
      <c r="A35" s="8"/>
      <c r="B35" s="8"/>
      <c r="C35" s="6"/>
      <c r="D35"/>
      <c r="E35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</row>
    <row r="36" spans="1:22" s="3" customFormat="1" x14ac:dyDescent="0.15">
      <c r="C36" s="6"/>
      <c r="D36"/>
      <c r="E36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</row>
    <row r="37" spans="1:22" s="3" customFormat="1" x14ac:dyDescent="0.15">
      <c r="C37" s="2"/>
      <c r="D37"/>
      <c r="E37"/>
      <c r="F37" s="8"/>
      <c r="G37" s="8"/>
    </row>
    <row r="38" spans="1:22" s="3" customFormat="1" x14ac:dyDescent="0.15">
      <c r="C38" s="2"/>
      <c r="D38"/>
      <c r="E38"/>
    </row>
    <row r="39" spans="1:22" s="3" customFormat="1" x14ac:dyDescent="0.15">
      <c r="C39" s="2"/>
      <c r="D39"/>
      <c r="E39"/>
    </row>
    <row r="40" spans="1:22" x14ac:dyDescent="0.15">
      <c r="B40" s="2"/>
      <c r="D40" s="3"/>
      <c r="E40" s="3"/>
      <c r="G40" s="3"/>
      <c r="J40" s="3"/>
      <c r="K40" s="3"/>
      <c r="L40" s="3"/>
      <c r="M40" s="3"/>
      <c r="N40" s="3"/>
      <c r="O40" s="3"/>
      <c r="P40" s="3"/>
    </row>
    <row r="41" spans="1:22" x14ac:dyDescent="0.15">
      <c r="J41" s="3"/>
      <c r="K41" s="3"/>
      <c r="L41" s="3"/>
      <c r="M41" s="3"/>
      <c r="N41" s="3"/>
    </row>
  </sheetData>
  <mergeCells count="27">
    <mergeCell ref="B1:C3"/>
    <mergeCell ref="D22:G22"/>
    <mergeCell ref="I22:M22"/>
    <mergeCell ref="O22:R22"/>
    <mergeCell ref="D23:E23"/>
    <mergeCell ref="I23:K23"/>
    <mergeCell ref="O23:R23"/>
    <mergeCell ref="D24:E24"/>
    <mergeCell ref="I24:K24"/>
    <mergeCell ref="O24:R24"/>
    <mergeCell ref="D25:E25"/>
    <mergeCell ref="I25:K25"/>
    <mergeCell ref="O25:R25"/>
    <mergeCell ref="D26:E26"/>
    <mergeCell ref="I26:K26"/>
    <mergeCell ref="O26:R26"/>
    <mergeCell ref="D27:E27"/>
    <mergeCell ref="I27:K27"/>
    <mergeCell ref="O27:R27"/>
    <mergeCell ref="D31:E31"/>
    <mergeCell ref="D28:E28"/>
    <mergeCell ref="I28:K28"/>
    <mergeCell ref="O28:R28"/>
    <mergeCell ref="D29:E29"/>
    <mergeCell ref="I29:K29"/>
    <mergeCell ref="D30:E30"/>
    <mergeCell ref="I30:K30"/>
  </mergeCells>
  <phoneticPr fontId="16" type="noConversion"/>
  <conditionalFormatting sqref="D18:R18">
    <cfRule type="cellIs" dxfId="36" priority="11" operator="lessThan">
      <formula>$G24</formula>
    </cfRule>
  </conditionalFormatting>
  <conditionalFormatting sqref="D5:R11">
    <cfRule type="expression" dxfId="35" priority="10">
      <formula>D$4=FALSE</formula>
    </cfRule>
  </conditionalFormatting>
  <conditionalFormatting sqref="M29">
    <cfRule type="cellIs" dxfId="34" priority="8" operator="equal">
      <formula>"未起控"</formula>
    </cfRule>
    <cfRule type="cellIs" dxfId="33" priority="9" operator="equal">
      <formula>"起控"</formula>
    </cfRule>
  </conditionalFormatting>
  <conditionalFormatting sqref="D12:R20">
    <cfRule type="expression" dxfId="32" priority="3">
      <formula>D$4=FALSE</formula>
    </cfRule>
  </conditionalFormatting>
  <conditionalFormatting sqref="D4:I4 K4:R4">
    <cfRule type="cellIs" dxfId="31" priority="6" operator="equal">
      <formula>FALSE</formula>
    </cfRule>
    <cfRule type="cellIs" dxfId="30" priority="7" operator="equal">
      <formula>TRUE</formula>
    </cfRule>
  </conditionalFormatting>
  <conditionalFormatting sqref="J4">
    <cfRule type="cellIs" dxfId="29" priority="4" operator="equal">
      <formula>FALSE</formula>
    </cfRule>
    <cfRule type="cellIs" dxfId="28" priority="5" operator="equal">
      <formula>TRUE</formula>
    </cfRule>
  </conditionalFormatting>
  <conditionalFormatting sqref="N13">
    <cfRule type="expression" dxfId="27" priority="1" stopIfTrue="1">
      <formula>$H$24&lt;0</formula>
    </cfRule>
    <cfRule type="expression" dxfId="26" priority="2">
      <formula>$H$24&gt;0</formula>
    </cfRule>
  </conditionalFormatting>
  <pageMargins left="0.7" right="0.7" top="0.75" bottom="0.75" header="0.3" footer="0.3"/>
  <pageSetup paperSize="9" scale="49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1193" r:id="rId4" name="交换">
          <controlPr autoLine="0" r:id="rId5">
            <anchor moveWithCells="1">
              <from>
                <xdr:col>0</xdr:col>
                <xdr:colOff>66675</xdr:colOff>
                <xdr:row>2</xdr:row>
                <xdr:rowOff>200025</xdr:rowOff>
              </from>
              <to>
                <xdr:col>1</xdr:col>
                <xdr:colOff>0</xdr:colOff>
                <xdr:row>4</xdr:row>
                <xdr:rowOff>57150</xdr:rowOff>
              </to>
            </anchor>
          </controlPr>
        </control>
      </mc:Choice>
      <mc:Fallback>
        <control shapeId="91193" r:id="rId4" name="交换"/>
      </mc:Fallback>
    </mc:AlternateContent>
    <mc:AlternateContent xmlns:mc="http://schemas.openxmlformats.org/markup-compatibility/2006">
      <mc:Choice Requires="x14">
        <control shapeId="91194" r:id="rId6" name="stage2">
          <controlPr autoLine="0" r:id="rId7">
            <anchor moveWithCells="1">
              <from>
                <xdr:col>0</xdr:col>
                <xdr:colOff>66675</xdr:colOff>
                <xdr:row>5</xdr:row>
                <xdr:rowOff>104775</xdr:rowOff>
              </from>
              <to>
                <xdr:col>1</xdr:col>
                <xdr:colOff>0</xdr:colOff>
                <xdr:row>6</xdr:row>
                <xdr:rowOff>142875</xdr:rowOff>
              </to>
            </anchor>
          </controlPr>
        </control>
      </mc:Choice>
      <mc:Fallback>
        <control shapeId="91194" r:id="rId6" name="stage2"/>
      </mc:Fallback>
    </mc:AlternateContent>
    <mc:AlternateContent xmlns:mc="http://schemas.openxmlformats.org/markup-compatibility/2006">
      <mc:Choice Requires="x14">
        <control shapeId="91195" r:id="rId8" name="stage_num_set">
          <controlPr autoLine="0" r:id="rId9">
            <anchor moveWithCells="1">
              <from>
                <xdr:col>0</xdr:col>
                <xdr:colOff>66675</xdr:colOff>
                <xdr:row>8</xdr:row>
                <xdr:rowOff>38100</xdr:rowOff>
              </from>
              <to>
                <xdr:col>1</xdr:col>
                <xdr:colOff>0</xdr:colOff>
                <xdr:row>9</xdr:row>
                <xdr:rowOff>114300</xdr:rowOff>
              </to>
            </anchor>
          </controlPr>
        </control>
      </mc:Choice>
      <mc:Fallback>
        <control shapeId="91195" r:id="rId8" name="stage_num_set"/>
      </mc:Fallback>
    </mc:AlternateContent>
    <mc:AlternateContent xmlns:mc="http://schemas.openxmlformats.org/markup-compatibility/2006">
      <mc:Choice Requires="x14">
        <control shapeId="91196" r:id="rId10" name="stage_num">
          <controlPr autoLine="0" r:id="rId11">
            <anchor moveWithCells="1">
              <from>
                <xdr:col>0</xdr:col>
                <xdr:colOff>66675</xdr:colOff>
                <xdr:row>9</xdr:row>
                <xdr:rowOff>114300</xdr:rowOff>
              </from>
              <to>
                <xdr:col>1</xdr:col>
                <xdr:colOff>0</xdr:colOff>
                <xdr:row>10</xdr:row>
                <xdr:rowOff>152400</xdr:rowOff>
              </to>
            </anchor>
          </controlPr>
        </control>
      </mc:Choice>
      <mc:Fallback>
        <control shapeId="91196" r:id="rId10" name="stage_num"/>
      </mc:Fallback>
    </mc:AlternateContent>
    <mc:AlternateContent xmlns:mc="http://schemas.openxmlformats.org/markup-compatibility/2006">
      <mc:Choice Requires="x14">
        <control shapeId="91197" r:id="rId12" name="stage1">
          <controlPr autoLine="0" r:id="rId13">
            <anchor moveWithCells="1">
              <from>
                <xdr:col>0</xdr:col>
                <xdr:colOff>66675</xdr:colOff>
                <xdr:row>4</xdr:row>
                <xdr:rowOff>57150</xdr:rowOff>
              </from>
              <to>
                <xdr:col>1</xdr:col>
                <xdr:colOff>0</xdr:colOff>
                <xdr:row>5</xdr:row>
                <xdr:rowOff>104775</xdr:rowOff>
              </to>
            </anchor>
          </controlPr>
        </control>
      </mc:Choice>
      <mc:Fallback>
        <control shapeId="91197" r:id="rId12" name="stage1"/>
      </mc:Fallback>
    </mc:AlternateContent>
    <mc:AlternateContent xmlns:mc="http://schemas.openxmlformats.org/markup-compatibility/2006">
      <mc:Choice Requires="x14">
        <control shapeId="91137" r:id="rId14" name="Check Box 1">
          <controlPr defaultSize="0" autoFill="0" autoLine="0" autoPict="0" macro="[0]!复选框10_Click" altText="启用">
            <anchor moveWithCells="1">
              <from>
                <xdr:col>4</xdr:col>
                <xdr:colOff>152400</xdr:colOff>
                <xdr:row>2</xdr:row>
                <xdr:rowOff>200025</xdr:rowOff>
              </from>
              <to>
                <xdr:col>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38" r:id="rId15" name="Check Box 2">
          <controlPr defaultSize="0" autoFill="0" autoLine="0" autoPict="0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39" r:id="rId16" name="Check Box 3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40" r:id="rId17" name="Check Box 4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41" r:id="rId18" name="Check Box 5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42" r:id="rId19" name="Check Box 6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43" r:id="rId20" name="Check Box 7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44" r:id="rId21" name="Check Box 8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45" r:id="rId22" name="Check Box 9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46" r:id="rId23" name="Check Box 10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47" r:id="rId24" name="Check Box 11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48" r:id="rId25" name="Check Box 12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49" r:id="rId26" name="Check Box 13">
          <controlPr defaultSize="0" autoFill="0" autoLine="0" autoPict="0" altText="启用">
            <anchor moveWithCells="1">
              <from>
                <xdr:col>4</xdr:col>
                <xdr:colOff>152400</xdr:colOff>
                <xdr:row>2</xdr:row>
                <xdr:rowOff>200025</xdr:rowOff>
              </from>
              <to>
                <xdr:col>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50" r:id="rId27" name="Check Box 14">
          <controlPr defaultSize="0" autoFill="0" autoLine="0" autoPict="0" macro="[0]!复选框10_Click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51" r:id="rId28" name="Check Box 15">
          <controlPr defaultSize="0" autoFill="0" autoLine="0" autoPict="0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52" r:id="rId29" name="Check Box 16">
          <controlPr defaultSize="0" autoFill="0" autoLine="0" autoPict="0" macro="[0]!复选框10_Click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53" r:id="rId30" name="Check Box 17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54" r:id="rId31" name="Check Box 18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55" r:id="rId32" name="Check Box 19">
          <controlPr defaultSize="0" autoFill="0" autoLine="0" autoPict="0" macro="[0]!复选框10_Click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56" r:id="rId33" name="Check Box 20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57" r:id="rId34" name="Check Box 21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58" r:id="rId35" name="Check Box 22">
          <controlPr defaultSize="0" autoFill="0" autoLine="0" autoPict="0" macro="[0]!复选框10_Click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59" r:id="rId36" name="Check Box 23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60" r:id="rId37" name="Check Box 24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61" r:id="rId38" name="Check Box 25">
          <controlPr defaultSize="0" autoFill="0" autoLine="0" autoPict="0" macro="[0]!复选框10_Click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62" r:id="rId39" name="Check Box 26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63" r:id="rId40" name="Check Box 27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64" r:id="rId41" name="Check Box 28">
          <controlPr defaultSize="0" autoFill="0" autoLine="0" autoPict="0" macro="[0]!复选框10_Click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65" r:id="rId42" name="Check Box 29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66" r:id="rId43" name="Check Box 30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67" r:id="rId44" name="Check Box 31">
          <controlPr defaultSize="0" autoFill="0" autoLine="0" autoPict="0" macro="[0]!复选框10_Click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68" r:id="rId45" name="Check Box 32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69" r:id="rId46" name="Check Box 33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70" r:id="rId47" name="Check Box 34">
          <controlPr defaultSize="0" autoFill="0" autoLine="0" autoPict="0" macro="[0]!复选框10_Click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71" r:id="rId48" name="Check Box 35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72" r:id="rId49" name="Check Box 36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73" r:id="rId50" name="Check Box 37">
          <controlPr defaultSize="0" autoFill="0" autoLine="0" autoPict="0" macro="[0]!复选框10_Click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74" r:id="rId51" name="Check Box 38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75" r:id="rId52" name="Check Box 39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76" r:id="rId53" name="Check Box 40">
          <controlPr defaultSize="0" autoFill="0" autoLine="0" autoPict="0" macro="[0]!复选框10_Click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77" r:id="rId54" name="Check Box 41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78" r:id="rId55" name="Check Box 42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79" r:id="rId56" name="Check Box 43">
          <controlPr defaultSize="0" autoFill="0" autoLine="0" autoPict="0" macro="[0]!复选框10_Click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80" r:id="rId57" name="Check Box 44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81" r:id="rId58" name="Check Box 45">
          <controlPr defaultSize="0" autoFill="0" autoLine="0" autoPict="0" altText="启用">
            <anchor moveWithCells="1">
              <from>
                <xdr:col>3</xdr:col>
                <xdr:colOff>152400</xdr:colOff>
                <xdr:row>2</xdr:row>
                <xdr:rowOff>200025</xdr:rowOff>
              </from>
              <to>
                <xdr:col>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82" r:id="rId59" name="Check Box 46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83" r:id="rId60" name="Check Box 47">
          <controlPr defaultSize="0" autoFill="0" autoLine="0" autoPict="0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84" r:id="rId61" name="Check Box 48">
          <controlPr defaultSize="0" autoFill="0" autoLine="0" autoPict="0" macro="[0]!复选框10_Click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85" r:id="rId62" name="Check Box 49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86" r:id="rId63" name="Check Box 50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87" r:id="rId64" name="Check Box 51">
          <controlPr defaultSize="0" autoFill="0" autoLine="0" autoPict="0" macro="[0]!复选框10_Click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88" r:id="rId65" name="Check Box 52">
          <controlPr defaultSize="0" autoFill="0" autoLine="0" autoPict="0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89" r:id="rId66" name="Check Box 53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90" r:id="rId67" name="Check Box 54">
          <controlPr defaultSize="0" autoFill="0" autoLine="0" autoPict="0" macro="[0]!复选框10_Click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91" r:id="rId68" name="Check Box 55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1192" r:id="rId69" name="Check Box 56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Y39"/>
  <sheetViews>
    <sheetView showGridLines="0" zoomScale="106" zoomScaleNormal="106" workbookViewId="0">
      <pane xSplit="3" topLeftCell="D1" activePane="topRight" state="frozen"/>
      <selection pane="topRight" activeCell="G10" sqref="G10"/>
    </sheetView>
  </sheetViews>
  <sheetFormatPr defaultRowHeight="16.5" x14ac:dyDescent="0.15"/>
  <cols>
    <col min="1" max="1" width="9" style="2"/>
    <col min="2" max="2" width="16.75" style="2" customWidth="1"/>
    <col min="3" max="3" width="6" style="2" bestFit="1" customWidth="1"/>
    <col min="4" max="4" width="19.375" style="2" customWidth="1"/>
    <col min="5" max="5" width="23.5" style="2" bestFit="1" customWidth="1"/>
    <col min="6" max="6" width="20.125" style="2" bestFit="1" customWidth="1"/>
    <col min="7" max="7" width="22.5" style="2" customWidth="1"/>
    <col min="8" max="18" width="12.625" style="2" customWidth="1"/>
    <col min="19" max="16384" width="9" style="2"/>
  </cols>
  <sheetData>
    <row r="1" spans="1:25" ht="45.75" customHeight="1" x14ac:dyDescent="0.15">
      <c r="A1" s="6"/>
      <c r="B1" s="63" t="s">
        <v>61</v>
      </c>
      <c r="C1" s="63"/>
      <c r="D1" s="6"/>
      <c r="E1" s="44"/>
      <c r="F1" s="44"/>
      <c r="G1" s="44"/>
      <c r="H1" s="44"/>
      <c r="I1" s="44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</row>
    <row r="2" spans="1:25" ht="16.5" customHeight="1" x14ac:dyDescent="0.15">
      <c r="A2" s="44"/>
      <c r="B2" s="63"/>
      <c r="C2" s="63"/>
      <c r="D2" s="6">
        <f>数据源!J5</f>
        <v>0</v>
      </c>
      <c r="E2" s="6"/>
      <c r="F2" s="6"/>
      <c r="G2" s="6"/>
      <c r="H2" s="44"/>
      <c r="I2" s="44"/>
      <c r="J2" s="44"/>
      <c r="K2" s="44"/>
      <c r="L2" s="6"/>
      <c r="M2" s="6"/>
      <c r="N2" s="6"/>
      <c r="O2" s="6"/>
      <c r="P2" s="6"/>
      <c r="Q2" s="6"/>
      <c r="R2" s="6"/>
      <c r="S2" s="6"/>
      <c r="T2" s="6"/>
      <c r="U2" s="6"/>
      <c r="V2" s="6"/>
    </row>
    <row r="3" spans="1:25" ht="16.5" customHeight="1" x14ac:dyDescent="0.15">
      <c r="A3" s="44"/>
      <c r="B3" s="64"/>
      <c r="C3" s="64"/>
      <c r="D3" s="25">
        <v>1</v>
      </c>
      <c r="E3" s="25">
        <v>2</v>
      </c>
      <c r="F3" s="25">
        <v>3</v>
      </c>
      <c r="G3" s="25">
        <v>4</v>
      </c>
      <c r="H3" s="25">
        <v>5</v>
      </c>
      <c r="I3" s="25">
        <v>6</v>
      </c>
      <c r="J3" s="25">
        <v>7</v>
      </c>
      <c r="K3" s="25">
        <v>8</v>
      </c>
      <c r="L3" s="25">
        <v>9</v>
      </c>
      <c r="M3" s="25">
        <v>10</v>
      </c>
      <c r="N3" s="25">
        <v>11</v>
      </c>
      <c r="O3" s="25">
        <v>12</v>
      </c>
      <c r="P3" s="25">
        <v>13</v>
      </c>
      <c r="Q3" s="25">
        <v>14</v>
      </c>
      <c r="R3" s="25">
        <v>15</v>
      </c>
      <c r="S3" s="6"/>
      <c r="T3" s="6"/>
      <c r="U3" s="6"/>
      <c r="V3" s="44"/>
      <c r="W3" s="44"/>
      <c r="X3" s="44"/>
      <c r="Y3" s="44"/>
    </row>
    <row r="4" spans="1:25" x14ac:dyDescent="0.15">
      <c r="A4" s="44"/>
      <c r="B4" s="25"/>
      <c r="C4" s="28" t="b">
        <v>1</v>
      </c>
      <c r="D4" s="23" t="b">
        <v>1</v>
      </c>
      <c r="E4" s="24" t="b">
        <v>1</v>
      </c>
      <c r="F4" s="24" t="b">
        <v>1</v>
      </c>
      <c r="G4" s="24" t="b">
        <v>1</v>
      </c>
      <c r="H4" s="24" t="b">
        <v>0</v>
      </c>
      <c r="I4" s="24" t="b">
        <v>0</v>
      </c>
      <c r="J4" s="24" t="b">
        <v>0</v>
      </c>
      <c r="K4" s="24" t="b">
        <v>0</v>
      </c>
      <c r="L4" s="24" t="b">
        <v>0</v>
      </c>
      <c r="M4" s="24" t="b">
        <v>0</v>
      </c>
      <c r="N4" s="24" t="b">
        <v>0</v>
      </c>
      <c r="O4" s="24" t="b">
        <v>0</v>
      </c>
      <c r="P4" s="24" t="b">
        <v>0</v>
      </c>
      <c r="Q4" s="24" t="b">
        <v>0</v>
      </c>
      <c r="R4" s="24" t="b">
        <v>0</v>
      </c>
      <c r="S4" s="44"/>
      <c r="T4" s="44"/>
      <c r="U4" s="44"/>
      <c r="V4" s="44"/>
      <c r="W4" s="44"/>
      <c r="X4" s="44"/>
      <c r="Y4" s="44"/>
    </row>
    <row r="5" spans="1:25" s="4" customFormat="1" x14ac:dyDescent="0.15">
      <c r="A5" s="44"/>
      <c r="B5" s="25" t="s">
        <v>24</v>
      </c>
      <c r="C5" s="26"/>
      <c r="D5" s="21" t="s">
        <v>80</v>
      </c>
      <c r="E5" s="21" t="s">
        <v>79</v>
      </c>
      <c r="F5" s="21" t="s">
        <v>101</v>
      </c>
      <c r="G5" s="21" t="s">
        <v>109</v>
      </c>
      <c r="H5" s="21" t="s">
        <v>99</v>
      </c>
      <c r="I5" s="21" t="s">
        <v>109</v>
      </c>
      <c r="J5" s="21" t="s">
        <v>112</v>
      </c>
      <c r="K5" s="21" t="s">
        <v>77</v>
      </c>
      <c r="L5" s="21" t="s">
        <v>29</v>
      </c>
      <c r="M5" s="21" t="s">
        <v>30</v>
      </c>
      <c r="N5" s="21" t="s">
        <v>30</v>
      </c>
      <c r="O5" s="21" t="s">
        <v>63</v>
      </c>
      <c r="P5" s="21" t="s">
        <v>31</v>
      </c>
      <c r="Q5" s="21" t="s">
        <v>29</v>
      </c>
      <c r="R5" s="21" t="s">
        <v>29</v>
      </c>
      <c r="S5" s="44"/>
      <c r="T5" s="44"/>
      <c r="U5" s="44"/>
      <c r="V5" s="44"/>
      <c r="W5" s="44"/>
      <c r="X5" s="44"/>
      <c r="Y5" s="44"/>
    </row>
    <row r="6" spans="1:25" s="4" customFormat="1" ht="21.75" customHeight="1" x14ac:dyDescent="0.15">
      <c r="A6" s="44"/>
      <c r="B6" s="27" t="s">
        <v>0</v>
      </c>
      <c r="C6" s="26"/>
      <c r="D6" s="45" t="s">
        <v>120</v>
      </c>
      <c r="E6" s="45" t="s">
        <v>102</v>
      </c>
      <c r="F6" s="45" t="s">
        <v>98</v>
      </c>
      <c r="G6" s="45" t="s">
        <v>119</v>
      </c>
      <c r="H6" s="45" t="s">
        <v>100</v>
      </c>
      <c r="I6" s="45" t="s">
        <v>110</v>
      </c>
      <c r="J6" s="45" t="s">
        <v>113</v>
      </c>
      <c r="K6" s="45" t="s">
        <v>78</v>
      </c>
      <c r="L6" s="45" t="s">
        <v>65</v>
      </c>
      <c r="M6" s="45" t="s">
        <v>69</v>
      </c>
      <c r="N6" s="45" t="s">
        <v>66</v>
      </c>
      <c r="O6" s="45" t="s">
        <v>67</v>
      </c>
      <c r="P6" s="45" t="s">
        <v>53</v>
      </c>
      <c r="Q6" s="45" t="s">
        <v>59</v>
      </c>
      <c r="R6" s="45" t="s">
        <v>56</v>
      </c>
      <c r="S6" s="44"/>
      <c r="T6" s="44"/>
      <c r="U6" s="44"/>
      <c r="V6" s="44"/>
      <c r="W6" s="44"/>
      <c r="X6" s="44"/>
      <c r="Y6" s="44"/>
    </row>
    <row r="7" spans="1:25" s="4" customFormat="1" ht="17.25" thickBot="1" x14ac:dyDescent="0.2">
      <c r="A7" s="44"/>
      <c r="B7" s="27" t="s">
        <v>57</v>
      </c>
      <c r="C7" s="28" t="s">
        <v>25</v>
      </c>
      <c r="D7" s="42" t="s">
        <v>123</v>
      </c>
      <c r="E7" s="42" t="s">
        <v>97</v>
      </c>
      <c r="F7" s="42" t="s">
        <v>89</v>
      </c>
      <c r="G7" s="42" t="s">
        <v>90</v>
      </c>
      <c r="H7" s="42" t="s">
        <v>72</v>
      </c>
      <c r="I7" s="42" t="s">
        <v>111</v>
      </c>
      <c r="J7" s="42" t="s">
        <v>114</v>
      </c>
      <c r="K7" s="42" t="s">
        <v>92</v>
      </c>
      <c r="L7" s="42" t="s">
        <v>54</v>
      </c>
      <c r="M7" s="42" t="s">
        <v>64</v>
      </c>
      <c r="N7" s="42" t="s">
        <v>64</v>
      </c>
      <c r="O7" s="42" t="s">
        <v>62</v>
      </c>
      <c r="P7" s="42" t="s">
        <v>62</v>
      </c>
      <c r="Q7" s="42" t="s">
        <v>54</v>
      </c>
      <c r="R7" s="42" t="s">
        <v>54</v>
      </c>
      <c r="S7" s="44"/>
      <c r="T7" s="44"/>
      <c r="U7" s="44"/>
      <c r="V7" s="44"/>
      <c r="W7" s="44"/>
      <c r="X7" s="44"/>
      <c r="Y7" s="44"/>
    </row>
    <row r="8" spans="1:25" ht="17.25" thickTop="1" x14ac:dyDescent="0.15">
      <c r="A8" s="44"/>
      <c r="B8" s="25" t="s">
        <v>58</v>
      </c>
      <c r="C8" s="26" t="s">
        <v>1</v>
      </c>
      <c r="D8" s="15">
        <f>LOOKUP(1,0/((数据源!$A$2:$A$160=D5)*(数据源!$B$2:$B$160=D6)*(数据源!$C$2:$C$160=D7)),数据源!$D$2:$D$160)</f>
        <v>-1.1000000000000001</v>
      </c>
      <c r="E8" s="15">
        <f>LOOKUP(1,0/((数据源!$A$2:$A$160=E5)*(数据源!$B$2:$B$160=E6)*(数据源!$C$2:$C$160=E7)),数据源!$D$2:$D$160)</f>
        <v>-1.5</v>
      </c>
      <c r="F8" s="15">
        <f>LOOKUP(1,0/((数据源!$A$2:$A$160=F5)*(数据源!$B$2:$B$160=F6)*(数据源!$C$2:$C$160=F7)),数据源!$D$2:$D$160)</f>
        <v>-1.1000000000000001</v>
      </c>
      <c r="G8" s="15">
        <f>LOOKUP(1,0/((数据源!$A$2:$A$160=G5)*(数据源!$B$2:$B$160=G6)*(数据源!$C$2:$C$160=G7)),数据源!$D$2:$D$160)</f>
        <v>56</v>
      </c>
      <c r="H8" s="15">
        <f>LOOKUP(1,0/((数据源!$A$2:$A$160=H5)*(数据源!$B$2:$B$160=H6)*(数据源!$C$2:$C$160=H7)),数据源!$D$2:$D$160)</f>
        <v>15</v>
      </c>
      <c r="I8" s="15">
        <f>LOOKUP(1,0/((数据源!$A$2:$A$160=I5)*(数据源!$B$2:$B$160=I6)*(数据源!$C$2:$C$160=I7)),数据源!$D$2:$D$160)</f>
        <v>56</v>
      </c>
      <c r="J8" s="15">
        <f>LOOKUP(1,0/((数据源!$A$2:$A$160=J5)*(数据源!$B$2:$B$160=J6)*(数据源!$C$2:$C$160=J7)),数据源!$D$2:$D$160)</f>
        <v>-0.7</v>
      </c>
      <c r="K8" s="15">
        <f>LOOKUP(1,0/((数据源!$A$2:$A$160=K5)*(数据源!$B$2:$B$160=K6)*(数据源!$C$2:$C$160=K7)),数据源!$D$2:$D$160)</f>
        <v>56</v>
      </c>
      <c r="L8" s="15">
        <f>LOOKUP(1,0/((数据源!$A$2:$A$160=L5)*(数据源!$B$2:$B$160=L6)*(数据源!$C$2:$C$160=L7)),数据源!$D$2:$D$160)</f>
        <v>-2</v>
      </c>
      <c r="M8" s="15" t="e">
        <f>LOOKUP(1,0/((数据源!$A$2:$A$160=M5)*(数据源!$B$2:$B$160=M6)*(数据源!$C$2:$C$160=M7)),数据源!$D$2:$D$160)</f>
        <v>#N/A</v>
      </c>
      <c r="N8" s="15" t="e">
        <f>LOOKUP(1,0/((数据源!$A$2:$A$160=N5)*(数据源!$B$2:$B$160=N6)*(数据源!$C$2:$C$160=N7)),数据源!$D$2:$D$160)</f>
        <v>#N/A</v>
      </c>
      <c r="O8" s="15" t="e">
        <f>LOOKUP(1,0/((数据源!$A$2:$A$160=O5)*(数据源!$B$2:$B$160=O6)*(数据源!$C$2:$C$160=O7)),数据源!$D$2:$D$160)</f>
        <v>#N/A</v>
      </c>
      <c r="P8" s="15" t="e">
        <f>LOOKUP(1,0/((数据源!$A$2:$A$160=P5)*(数据源!$B$2:$B$160=P6)*(数据源!$C$2:$C$160=P7)),数据源!$D$2:$D$160)</f>
        <v>#N/A</v>
      </c>
      <c r="Q8" s="15">
        <f>LOOKUP(1,0/((数据源!$A$2:$A$160=Q5)*(数据源!$B$2:$B$160=Q6)*(数据源!$C$2:$C$160=Q7)),数据源!$D$2:$D$160)</f>
        <v>-5</v>
      </c>
      <c r="R8" s="15">
        <f>LOOKUP(1,0/((数据源!$A$2:$A$160=R5)*(数据源!$B$2:$B$160=R6)*(数据源!$C$2:$C$160=R7)),数据源!$D$2:$D$160)</f>
        <v>-8</v>
      </c>
      <c r="S8" s="44"/>
      <c r="T8" s="44"/>
      <c r="U8" s="44"/>
      <c r="V8" s="44"/>
      <c r="W8" s="44"/>
      <c r="X8" s="44"/>
      <c r="Y8" s="44"/>
    </row>
    <row r="9" spans="1:25" x14ac:dyDescent="0.15">
      <c r="A9" s="44"/>
      <c r="B9" s="25" t="s">
        <v>2</v>
      </c>
      <c r="C9" s="26" t="s">
        <v>1</v>
      </c>
      <c r="D9" s="12">
        <f>LOOKUP(1,0/((数据源!$A$2:$A$160=D5)*(数据源!$B$2:$B$160=D6)*(数据源!$C$2:$C$160=D7)),数据源!$E$2:$E$160)</f>
        <v>1.1000000000000001</v>
      </c>
      <c r="E9" s="12">
        <f>LOOKUP(1,0/((数据源!$A$2:$A$160=E5)*(数据源!$B$2:$B$160=E6)*(数据源!$C$2:$C$160=E7)),数据源!$E$2:$E$160)</f>
        <v>1.5</v>
      </c>
      <c r="F9" s="12">
        <f>LOOKUP(1,0/((数据源!$A$2:$A$160=F5)*(数据源!$B$2:$B$160=F6)*(数据源!$C$2:$C$160=F7)),数据源!$E$2:$E$160)</f>
        <v>1.1000000000000001</v>
      </c>
      <c r="G9" s="12">
        <f>LOOKUP(1,0/((数据源!$A$2:$A$160=G5)*(数据源!$B$2:$B$160=G6)*(数据源!$C$2:$C$160=G7)),数据源!$E$2:$E$160)</f>
        <v>3</v>
      </c>
      <c r="H9" s="12">
        <f>LOOKUP(1,0/((数据源!$A$2:$A$160=H5)*(数据源!$B$2:$B$160=H6)*(数据源!$C$2:$C$160=H7)),数据源!$E$2:$E$160)</f>
        <v>0.7</v>
      </c>
      <c r="I9" s="12">
        <f>LOOKUP(1,0/((数据源!$A$2:$A$160=I5)*(数据源!$B$2:$B$160=I6)*(数据源!$C$2:$C$160=I7)),数据源!$E$2:$E$160)</f>
        <v>2.7</v>
      </c>
      <c r="J9" s="12">
        <f>LOOKUP(1,0/((数据源!$A$2:$A$160=J5)*(数据源!$B$2:$B$160=J6)*(数据源!$C$2:$C$160=J7)),数据源!$E$2:$E$160)</f>
        <v>0.7</v>
      </c>
      <c r="K9" s="12">
        <f>LOOKUP(1,0/((数据源!$A$2:$A$160=K5)*(数据源!$B$2:$B$160=K6)*(数据源!$C$2:$C$160=K7)),数据源!$E$2:$E$160)</f>
        <v>2.7</v>
      </c>
      <c r="L9" s="12">
        <f>LOOKUP(1,0/((数据源!$A$2:$A$160=L5)*(数据源!$B$2:$B$160=L6)*(数据源!$C$2:$C$160=L7)),数据源!$E$2:$E$160)</f>
        <v>2</v>
      </c>
      <c r="M9" s="12" t="e">
        <f>LOOKUP(1,0/((数据源!$A$2:$A$160=M5)*(数据源!$B$2:$B$160=M6)*(数据源!$C$2:$C$160=M7)),数据源!$E$2:$E$160)</f>
        <v>#N/A</v>
      </c>
      <c r="N9" s="12" t="e">
        <f>LOOKUP(1,0/((数据源!$A$2:$A$160=N5)*(数据源!$B$2:$B$160=N6)*(数据源!$C$2:$C$160=N7)),数据源!$E$2:$E$160)</f>
        <v>#N/A</v>
      </c>
      <c r="O9" s="12" t="e">
        <f>LOOKUP(1,0/((数据源!$A$2:$A$160=O5)*(数据源!$B$2:$B$160=O6)*(数据源!$C$2:$C$160=O7)),数据源!$E$2:$E$160)</f>
        <v>#N/A</v>
      </c>
      <c r="P9" s="12" t="e">
        <f>LOOKUP(1,0/((数据源!$A$2:$A$160=P5)*(数据源!$B$2:$B$160=P6)*(数据源!$C$2:$C$160=P7)),数据源!$E$2:$E$160)</f>
        <v>#N/A</v>
      </c>
      <c r="Q9" s="12">
        <f>LOOKUP(1,0/((数据源!$A$2:$A$160=Q5)*(数据源!$B$2:$B$160=Q6)*(数据源!$C$2:$C$160=Q7)),数据源!$E$2:$E$160)</f>
        <v>5</v>
      </c>
      <c r="R9" s="12">
        <f>LOOKUP(1,0/((数据源!$A$2:$A$160=R5)*(数据源!$B$2:$B$160=R6)*(数据源!$C$2:$C$160=R7)),数据源!$E$2:$E$160)</f>
        <v>8</v>
      </c>
      <c r="S9" s="44"/>
      <c r="T9" s="44"/>
      <c r="U9" s="44"/>
      <c r="V9" s="44"/>
      <c r="W9" s="44"/>
      <c r="X9" s="44"/>
      <c r="Y9" s="44"/>
    </row>
    <row r="10" spans="1:25" x14ac:dyDescent="0.15">
      <c r="A10" s="44"/>
      <c r="B10" s="25" t="s">
        <v>55</v>
      </c>
      <c r="C10" s="26" t="s">
        <v>3</v>
      </c>
      <c r="D10" s="12">
        <f>LOOKUP(1,0/((数据源!$A$2:$A$160=D5)*(数据源!$B$2:$B$160=D6)*(数据源!$C$2:$C$160=D7)),数据源!$F$2:$F$160)</f>
        <v>60</v>
      </c>
      <c r="E10" s="12">
        <f>LOOKUP(1,0/((数据源!$A$2:$A$160=E5)*(数据源!$B$2:$B$160=E6)*(数据源!$C$2:$C$160=E7)),数据源!$F$2:$F$160)</f>
        <v>60</v>
      </c>
      <c r="F10" s="12">
        <f>LOOKUP(1,0/((数据源!$A$2:$A$160=F5)*(数据源!$B$2:$B$160=F6)*(数据源!$C$2:$C$160=F7)),数据源!$F$2:$F$160)</f>
        <v>60</v>
      </c>
      <c r="G10" s="12">
        <f>LOOKUP(1,0/((数据源!$A$2:$A$160=G5)*(数据源!$B$2:$B$160=G6)*(数据源!$C$2:$C$160=G7)),数据源!$F$2:$F$160)</f>
        <v>60</v>
      </c>
      <c r="H10" s="12">
        <f>LOOKUP(1,0/((数据源!$A$2:$A$160=H5)*(数据源!$B$2:$B$160=H6)*(数据源!$C$2:$C$160=H7)),数据源!$F$2:$F$160)</f>
        <v>15</v>
      </c>
      <c r="I10" s="12">
        <f>LOOKUP(1,0/((数据源!$A$2:$A$160=I5)*(数据源!$B$2:$B$160=I6)*(数据源!$C$2:$C$160=I7)),数据源!$F$2:$F$160)</f>
        <v>60</v>
      </c>
      <c r="J10" s="12">
        <f>LOOKUP(1,0/((数据源!$A$2:$A$160=J5)*(数据源!$B$2:$B$160=J6)*(数据源!$C$2:$C$160=J7)),数据源!$F$2:$F$160)</f>
        <v>60</v>
      </c>
      <c r="K10" s="12">
        <f>LOOKUP(1,0/((数据源!$A$2:$A$160=K5)*(数据源!$B$2:$B$160=K6)*(数据源!$C$2:$C$160=K7)),数据源!$F$2:$F$160)</f>
        <v>60</v>
      </c>
      <c r="L10" s="12">
        <f>LOOKUP(1,0/((数据源!$A$2:$A$160=L5)*(数据源!$B$2:$B$160=L6)*(数据源!$C$2:$C$160=L7)),数据源!$F$2:$F$160)</f>
        <v>1000</v>
      </c>
      <c r="M10" s="12" t="e">
        <f>LOOKUP(1,0/((数据源!$A$2:$A$160=M5)*(数据源!$B$2:$B$160=M6)*(数据源!$C$2:$C$160=M7)),数据源!$F$2:$F$160)</f>
        <v>#N/A</v>
      </c>
      <c r="N10" s="12" t="e">
        <f>LOOKUP(1,0/((数据源!$A$2:$A$160=N5)*(数据源!$B$2:$B$160=N6)*(数据源!$C$2:$C$160=N7)),数据源!$F$2:$F$160)</f>
        <v>#N/A</v>
      </c>
      <c r="O10" s="12" t="e">
        <f>LOOKUP(1,0/((数据源!$A$2:$A$160=O5)*(数据源!$B$2:$B$160=O6)*(数据源!$C$2:$C$160=O7)),数据源!$F$2:$F$160)</f>
        <v>#N/A</v>
      </c>
      <c r="P10" s="12" t="e">
        <f>LOOKUP(1,0/((数据源!$A$2:$A$160=P5)*(数据源!$B$2:$B$160=P6)*(数据源!$C$2:$C$160=P7)),数据源!$F$2:$F$160)</f>
        <v>#N/A</v>
      </c>
      <c r="Q10" s="12">
        <f>LOOKUP(1,0/((数据源!$A$2:$A$160=Q5)*(数据源!$B$2:$B$160=Q6)*(数据源!$C$2:$C$160=Q7)),数据源!$F$2:$F$160)</f>
        <v>1000</v>
      </c>
      <c r="R10" s="12">
        <f>LOOKUP(1,0/((数据源!$A$2:$A$160=R5)*(数据源!$B$2:$B$160=R6)*(数据源!$C$2:$C$160=R7)),数据源!$F$2:$F$160)</f>
        <v>1000</v>
      </c>
      <c r="S10" s="44"/>
      <c r="T10" s="44"/>
      <c r="U10" s="44"/>
      <c r="V10" s="44"/>
      <c r="W10" s="44"/>
      <c r="X10" s="44"/>
      <c r="Y10" s="44"/>
    </row>
    <row r="11" spans="1:25" ht="17.25" thickBot="1" x14ac:dyDescent="0.2">
      <c r="A11" s="6"/>
      <c r="B11" s="29" t="s">
        <v>4</v>
      </c>
      <c r="C11" s="30" t="s">
        <v>3</v>
      </c>
      <c r="D11" s="13">
        <f>LOOKUP(1,0/((数据源!$A$2:$A$160=D5)*(数据源!$B$2:$B$160=D6)*(数据源!$C$2:$C$160=D7)),数据源!$G$2:$G$160)</f>
        <v>60</v>
      </c>
      <c r="E11" s="13">
        <f>LOOKUP(1,0/((数据源!$A$2:$A$160=E5)*(数据源!$B$2:$B$160=E6)*(数据源!$C$2:$C$160=E7)),数据源!$G$2:$G$160)</f>
        <v>60</v>
      </c>
      <c r="F11" s="13">
        <f>LOOKUP(1,0/((数据源!$A$2:$A$160=F5)*(数据源!$B$2:$B$160=F6)*(数据源!$C$2:$C$160=F7)),数据源!$G$2:$G$160)</f>
        <v>60</v>
      </c>
      <c r="G11" s="13">
        <f>LOOKUP(1,0/((数据源!$A$2:$A$160=G5)*(数据源!$B$2:$B$160=G6)*(数据源!$C$2:$C$160=G7)),数据源!$G$2:$G$160)</f>
        <v>60</v>
      </c>
      <c r="H11" s="13">
        <f>LOOKUP(1,0/((数据源!$A$2:$A$160=H5)*(数据源!$B$2:$B$160=H6)*(数据源!$C$2:$C$160=H7)),数据源!$G$2:$G$160)</f>
        <v>16</v>
      </c>
      <c r="I11" s="13">
        <f>LOOKUP(1,0/((数据源!$A$2:$A$160=I5)*(数据源!$B$2:$B$160=I6)*(数据源!$C$2:$C$160=I7)),数据源!$G$2:$G$160)</f>
        <v>60</v>
      </c>
      <c r="J11" s="13">
        <f>LOOKUP(1,0/((数据源!$A$2:$A$160=J5)*(数据源!$B$2:$B$160=J6)*(数据源!$C$2:$C$160=J7)),数据源!$G$2:$G$160)</f>
        <v>60</v>
      </c>
      <c r="K11" s="13">
        <f>LOOKUP(1,0/((数据源!$A$2:$A$160=K5)*(数据源!$B$2:$B$160=K6)*(数据源!$C$2:$C$160=K7)),数据源!$G$2:$G$160)</f>
        <v>60</v>
      </c>
      <c r="L11" s="13">
        <f>LOOKUP(1,0/((数据源!$A$2:$A$160=L5)*(数据源!$B$2:$B$160=L6)*(数据源!$C$2:$C$160=L7)),数据源!$G$2:$G$160)</f>
        <v>1000</v>
      </c>
      <c r="M11" s="13" t="e">
        <f>LOOKUP(1,0/((数据源!$A$2:$A$160=M5)*(数据源!$B$2:$B$160=M6)*(数据源!$C$2:$C$160=M7)),数据源!$G$2:$G$160)</f>
        <v>#N/A</v>
      </c>
      <c r="N11" s="13" t="e">
        <f>LOOKUP(1,0/((数据源!$A$2:$A$160=N5)*(数据源!$B$2:$B$160=N6)*(数据源!$C$2:$C$160=N7)),数据源!$G$2:$G$160)</f>
        <v>#N/A</v>
      </c>
      <c r="O11" s="13" t="e">
        <f>LOOKUP(1,0/((数据源!$A$2:$A$160=O5)*(数据源!$B$2:$B$160=O6)*(数据源!$C$2:$C$160=O7)),数据源!$G$2:$G$160)</f>
        <v>#N/A</v>
      </c>
      <c r="P11" s="13" t="e">
        <f>LOOKUP(1,0/((数据源!$A$2:$A$160=P5)*(数据源!$B$2:$B$160=P6)*(数据源!$C$2:$C$160=P7)),数据源!$G$2:$G$160)</f>
        <v>#N/A</v>
      </c>
      <c r="Q11" s="13">
        <f>LOOKUP(1,0/((数据源!$A$2:$A$160=Q5)*(数据源!$B$2:$B$160=Q6)*(数据源!$C$2:$C$160=Q7)),数据源!$G$2:$G$160)</f>
        <v>1000</v>
      </c>
      <c r="R11" s="13">
        <f>LOOKUP(1,0/((数据源!$A$2:$A$160=R5)*(数据源!$B$2:$B$160=R6)*(数据源!$C$2:$C$160=R7)),数据源!$G$2:$G$160)</f>
        <v>1000</v>
      </c>
      <c r="S11" s="44"/>
      <c r="T11" s="44"/>
      <c r="U11" s="44"/>
      <c r="V11" s="44"/>
      <c r="W11" s="44"/>
      <c r="X11" s="44"/>
      <c r="Y11" s="44"/>
    </row>
    <row r="12" spans="1:25" ht="17.25" thickTop="1" x14ac:dyDescent="0.15">
      <c r="A12" s="48">
        <f>M23</f>
        <v>-98.614574719691234</v>
      </c>
      <c r="B12" s="31" t="s">
        <v>5</v>
      </c>
      <c r="C12" s="32" t="s">
        <v>1</v>
      </c>
      <c r="D12" s="14">
        <f>IF(AND(D4&lt;&gt;FALSE,D8&lt;&gt;""),D8,"")</f>
        <v>-1.1000000000000001</v>
      </c>
      <c r="E12" s="11">
        <f>IF(OR($D$4:E$4)=FALSE,"",IF(E$4=FALSE,D12,IF(OR($D$4:D4)=FALSE,E8,E8+D12)))</f>
        <v>-2.6</v>
      </c>
      <c r="F12" s="11">
        <f>IF(OR($D$4:F$4)=FALSE,"",IF(F$4=FALSE,E12,IF(OR($D$4:E4)=FALSE,F8,F8+E12)))</f>
        <v>-3.7</v>
      </c>
      <c r="G12" s="11">
        <f>IF(OR($D$4:G$4)=FALSE,"",IF(G$4=FALSE,F12,IF(OR($D$4:F4)=FALSE,G8,G8+F12)))</f>
        <v>52.3</v>
      </c>
      <c r="H12" s="11">
        <f>IF(OR($D$4:H$4)=FALSE,"",IF(H$4=FALSE,G12,IF(OR($D$4:G4)=FALSE,H8,H8+G12)))</f>
        <v>52.3</v>
      </c>
      <c r="I12" s="11">
        <f>IF(OR($D$4:I$4)=FALSE,"",IF(I$4=FALSE,H12,IF(OR($D$4:H4)=FALSE,I8,I8+H12)))</f>
        <v>52.3</v>
      </c>
      <c r="J12" s="11">
        <f>IF(OR($D$4:J$4)=FALSE,"",IF(J$4=FALSE,I12,IF(OR($D$4:I4)=FALSE,J8,J8+I12)))</f>
        <v>52.3</v>
      </c>
      <c r="K12" s="11">
        <f>IF(OR($D$4:K$4)=FALSE,"",IF(K$4=FALSE,J12,IF(OR($D$4:J4)=FALSE,K8,K8+J12)))</f>
        <v>52.3</v>
      </c>
      <c r="L12" s="11">
        <f>IF(OR($D$4:L$4)=FALSE,"",IF(L$4=FALSE,K12,IF(OR($D$4:K4)=FALSE,L8,L8+K12)))</f>
        <v>52.3</v>
      </c>
      <c r="M12" s="11">
        <f>IF(OR($D$4:M$4)=FALSE,"",IF(M$4=FALSE,L12,IF(OR($D$4:L4)=FALSE,M8,M8+L12)))</f>
        <v>52.3</v>
      </c>
      <c r="N12" s="11">
        <f>IF(OR($D$4:N$4)=FALSE,"",IF(N$4=FALSE,M12,IF(OR($D$4:M4)=FALSE,N8,N8+M12)))</f>
        <v>52.3</v>
      </c>
      <c r="O12" s="11">
        <f>IF(OR($D$4:O$4)=FALSE,"",IF(O$4=FALSE,N12,IF(OR($D$4:N4)=FALSE,O8,O8+N12)))</f>
        <v>52.3</v>
      </c>
      <c r="P12" s="11">
        <f>IF(OR($D$4:P$4)=FALSE,"",IF(P$4=FALSE,O12,IF(OR($D$4:O4)=FALSE,P8,P8+O12)))</f>
        <v>52.3</v>
      </c>
      <c r="Q12" s="11">
        <f>IF(OR($D$4:Q$4)=FALSE,"",IF(Q$4=FALSE,P12,IF(OR($D$4:P4)=FALSE,Q8,Q8+P12)))</f>
        <v>52.3</v>
      </c>
      <c r="R12" s="11">
        <f>IF(OR($D$4:R$4)=FALSE,"",IF(R$4=FALSE,Q12,IF(OR($D$4:Q4)=FALSE,R8,R8+Q12)))</f>
        <v>52.3</v>
      </c>
      <c r="S12" s="44"/>
      <c r="T12" s="44"/>
      <c r="U12" s="44"/>
      <c r="V12" s="44"/>
      <c r="W12" s="44"/>
      <c r="X12" s="44"/>
      <c r="Y12" s="44"/>
    </row>
    <row r="13" spans="1:25" x14ac:dyDescent="0.15">
      <c r="A13" s="6"/>
      <c r="B13" s="33" t="s">
        <v>6</v>
      </c>
      <c r="C13" s="34" t="s">
        <v>1</v>
      </c>
      <c r="D13" s="12">
        <f>IF(AND(D4&lt;&gt;FALSE,D9&lt;&gt;""),D9,"")</f>
        <v>1.1000000000000001</v>
      </c>
      <c r="E13" s="10">
        <f>IF(OR($D$4:E$4)=FALSE,"",IF(E$4=FALSE,D13,IF(OR($D$4:D$4)=FALSE,E9,10*LOG(10^(D13/10)+(10^(E9/10)-1)/10^(D12/10)))))</f>
        <v>2.6000000000000005</v>
      </c>
      <c r="F13" s="10">
        <f>IF(OR($D$4:F$4)=FALSE,"",IF(F$4=FALSE,E13,IF(OR($D$4:E$4)=FALSE,F9,10*LOG(10^(E13/10)+(10^(F9/10)-1)/10^(E12/10)))))</f>
        <v>3.7000000000000015</v>
      </c>
      <c r="G13" s="10">
        <f>IF(OR($D$4:G$4)=FALSE,"",IF(G$4=FALSE,F13,IF(OR($D$4:F$4)=FALSE,G9,10*LOG(10^(F13/10)+(10^(G9/10)-1)/10^(F12/10)))))</f>
        <v>6.7000000000000011</v>
      </c>
      <c r="H13" s="10">
        <f>IF(OR($D$4:H$4)=FALSE,"",IF(H$4=FALSE,G13,IF(OR($D$4:G$4)=FALSE,H9,10*LOG(10^(G13/10)+(10^(H9/10)-1)/10^(G12/10)))))</f>
        <v>6.7000000000000011</v>
      </c>
      <c r="I13" s="10">
        <f>IF(OR($D$4:I$4)=FALSE,"",IF(I$4=FALSE,H13,IF(OR($D$4:H$4)=FALSE,I9,10*LOG(10^(H13/10)+(10^(I9/10)-1)/10^(H12/10)))))</f>
        <v>6.7000000000000011</v>
      </c>
      <c r="J13" s="10">
        <f>IF(OR($D$4:J$4)=FALSE,"",IF(J$4=FALSE,I13,IF(OR($D$4:I$4)=FALSE,J9,10*LOG(10^(I13/10)+(10^(J9/10)-1)/10^(I12/10)))))</f>
        <v>6.7000000000000011</v>
      </c>
      <c r="K13" s="10">
        <f>IF(OR($D$4:K$4)=FALSE,"",IF(K$4=FALSE,J13,IF(OR($D$4:J$4)=FALSE,K9,10*LOG(10^(J13/10)+(10^(K9/10)-1)/10^(J12/10)))))</f>
        <v>6.7000000000000011</v>
      </c>
      <c r="L13" s="10">
        <f>IF(OR($D$4:L$4)=FALSE,"",IF(L$4=FALSE,K13,IF(OR($D$4:K$4)=FALSE,L9,10*LOG(10^(K13/10)+(10^(L9/10)-1)/10^(K12/10)))))</f>
        <v>6.7000000000000011</v>
      </c>
      <c r="M13" s="10">
        <f>IF(OR($D$4:M$4)=FALSE,"",IF(M$4=FALSE,L13,IF(OR($D$4:L$4)=FALSE,M9,10*LOG(10^(L13/10)+(10^(M9/10)-1)/10^(L12/10)))))</f>
        <v>6.7000000000000011</v>
      </c>
      <c r="N13" s="10">
        <f>IF(OR($D$4:N$4)=FALSE,"",IF(N$4=FALSE,M13,IF(OR($D$4:M$4)=FALSE,N9,10*LOG(10^(M13/10)+(10^(N9/10)-1)/10^(M12/10)))))</f>
        <v>6.7000000000000011</v>
      </c>
      <c r="O13" s="10">
        <f>IF(OR($D$4:O$4)=FALSE,"",IF(O$4=FALSE,N13,IF(OR($D$4:N$4)=FALSE,O9,10*LOG(10^(N13/10)+(10^(O9/10)-1)/10^(N12/10)))))</f>
        <v>6.7000000000000011</v>
      </c>
      <c r="P13" s="10">
        <f>IF(OR($D$4:P$4)=FALSE,"",IF(P$4=FALSE,O13,IF(OR($D$4:O$4)=FALSE,P9,10*LOG(10^(O13/10)+(10^(P9/10)-1)/10^(O12/10)))))</f>
        <v>6.7000000000000011</v>
      </c>
      <c r="Q13" s="10">
        <f>IF(OR($D$4:Q$4)=FALSE,"",IF(Q$4=FALSE,P13,IF(OR($D$4:P$4)=FALSE,Q9,10*LOG(10^(P13/10)+(10^(Q9/10)-1)/10^(P12/10)))))</f>
        <v>6.7000000000000011</v>
      </c>
      <c r="R13" s="10">
        <f>IF(OR($D$4:R$4)=FALSE,"",IF(R$4=FALSE,Q13,IF(OR($D$4:Q$4)=FALSE,R9,10*LOG(10^(Q13/10)+(10^(R9/10)-1)/10^(Q12/10)))))</f>
        <v>6.7000000000000011</v>
      </c>
      <c r="S13" s="6"/>
      <c r="T13" s="6"/>
      <c r="U13" s="6"/>
      <c r="V13" s="6"/>
    </row>
    <row r="14" spans="1:25" x14ac:dyDescent="0.15">
      <c r="A14" s="6"/>
      <c r="B14" s="33" t="s">
        <v>7</v>
      </c>
      <c r="C14" s="34" t="s">
        <v>3</v>
      </c>
      <c r="D14" s="12">
        <f>IF(AND(D4&lt;&gt;FALSE,D10&lt;&gt;""),D10,"")</f>
        <v>60</v>
      </c>
      <c r="E14" s="10">
        <f>IF(OR($D$4:E$4)=FALSE,"",IF(E$4=FALSE,D14,IF(OR($D$4:D$4)=FALSE,E10,10*LOG(1/(1/10^(E10/10)+1/(10^(D14/10)*10^(E8/10)))))))</f>
        <v>56.175259193124134</v>
      </c>
      <c r="F14" s="10">
        <f>IF(OR($D$4:F$4)=FALSE,"",IF(F$4=FALSE,E14,IF(OR($D$4:E$4)=FALSE,F10,10*LOG(1/(1/10^(F10/10)+1/(10^(E14/10)*10^(F8/10)))))))</f>
        <v>53.863748076895853</v>
      </c>
      <c r="G14" s="10">
        <f>IF(OR($D$4:G$4)=FALSE,"",IF(G$4=FALSE,F14,IF(OR($D$4:F$4)=FALSE,G10,10*LOG(1/(1/10^(G10/10)+1/(10^(F14/10)*10^(G8/10)))))))</f>
        <v>59.999955186665233</v>
      </c>
      <c r="H14" s="10">
        <f>IF(OR($D$4:H$4)=FALSE,"",IF(H$4=FALSE,G14,IF(OR($D$4:G$4)=FALSE,H10,10*LOG(1/(1/10^(H10/10)+1/(10^(G14/10)*10^(H8/10)))))))</f>
        <v>59.999955186665233</v>
      </c>
      <c r="I14" s="10">
        <f>IF(OR($D$4:I$4)=FALSE,"",IF(I$4=FALSE,H14,IF(OR($D$4:H$4)=FALSE,I10,10*LOG(1/(1/10^(I10/10)+1/(10^(H14/10)*10^(I8/10)))))))</f>
        <v>59.999955186665233</v>
      </c>
      <c r="J14" s="10">
        <f>IF(OR($D$4:J$4)=FALSE,"",IF(J$4=FALSE,I14,IF(OR($D$4:I$4)=FALSE,J10,10*LOG(1/(1/10^(J10/10)+1/(10^(I14/10)*10^(J8/10)))))))</f>
        <v>59.999955186665233</v>
      </c>
      <c r="K14" s="10">
        <f>IF(OR($D$4:K$4)=FALSE,"",IF(K$4=FALSE,J14,IF(OR($D$4:J$4)=FALSE,K10,10*LOG(1/(1/10^(K10/10)+1/(10^(J14/10)*10^(K8/10)))))))</f>
        <v>59.999955186665233</v>
      </c>
      <c r="L14" s="10">
        <f>IF(OR($D$4:L$4)=FALSE,"",IF(L$4=FALSE,K14,IF(OR($D$4:K$4)=FALSE,L10,10*LOG(1/(1/10^(L10/10)+1/(10^(K14/10)*10^(L8/10)))))))</f>
        <v>59.999955186665233</v>
      </c>
      <c r="M14" s="10">
        <f>IF(OR($D$4:M$4)=FALSE,"",IF(M$4=FALSE,L14,IF(OR($D$4:L$4)=FALSE,M10,10*LOG(1/(1/10^(M10/10)+1/(10^(L14/10)*10^(M8/10)))))))</f>
        <v>59.999955186665233</v>
      </c>
      <c r="N14" s="10">
        <f>IF(OR($D$4:N$4)=FALSE,"",IF(N$4=FALSE,M14,IF(OR($D$4:M$4)=FALSE,N10,10*LOG(1/(1/10^(N10/10)+1/(10^(M14/10)*10^(N8/10)))))))</f>
        <v>59.999955186665233</v>
      </c>
      <c r="O14" s="10">
        <f>IF(OR($D$4:O$4)=FALSE,"",IF(O$4=FALSE,N14,IF(OR($D$4:N$4)=FALSE,O10,10*LOG(1/(1/10^(O10/10)+1/(10^(N14/10)*10^(O8/10)))))))</f>
        <v>59.999955186665233</v>
      </c>
      <c r="P14" s="10">
        <f>IF(OR($D$4:P$4)=FALSE,"",IF(P$4=FALSE,O14,IF(OR($D$4:O$4)=FALSE,P10,10*LOG(1/(1/10^(P10/10)+1/(10^(O14/10)*10^(P8/10)))))))</f>
        <v>59.999955186665233</v>
      </c>
      <c r="Q14" s="10">
        <f>IF(OR($D$4:Q$4)=FALSE,"",IF(Q$4=FALSE,P14,IF(OR($D$4:P$4)=FALSE,Q10,10*LOG(1/(1/10^(Q10/10)+1/(10^(P14/10)*10^(Q8/10)))))))</f>
        <v>59.999955186665233</v>
      </c>
      <c r="R14" s="10">
        <f>IF(OR($D$4:R$4)=FALSE,"",IF(R$4=FALSE,Q14,IF(OR($D$4:Q$4)=FALSE,R10,10*LOG(1/(1/10^(R10/10)+1/(10^(Q14/10)*10^(R8/10)))))))</f>
        <v>59.999955186665233</v>
      </c>
      <c r="S14" s="6"/>
      <c r="T14" s="6"/>
      <c r="U14" s="6"/>
      <c r="V14" s="6"/>
    </row>
    <row r="15" spans="1:25" ht="17.25" thickBot="1" x14ac:dyDescent="0.2">
      <c r="A15" s="6"/>
      <c r="B15" s="35" t="s">
        <v>36</v>
      </c>
      <c r="C15" s="36" t="s">
        <v>3</v>
      </c>
      <c r="D15" s="22">
        <f>IF(AND(D4&lt;&gt;FALSE,D11&lt;&gt;""),D11,"")</f>
        <v>60</v>
      </c>
      <c r="E15" s="16">
        <f>IF(OR($D$4:E$4)=FALSE,"",IF(E$4=FALSE,D15,IF(OR($D$4:D$4)=FALSE,E11,10*LOG(1/(1/10^(E11/10)+1/(10^(D15/10)*10^(E8/10)))))))</f>
        <v>56.175259193124134</v>
      </c>
      <c r="F15" s="16">
        <f>IF(OR($D$4:F$4)=FALSE,"",IF(F$4=FALSE,E15,IF(OR($D$4:E$4)=FALSE,F11,10*LOG(1/(1/10^(F11/10)+1/(10^(E15/10)*10^(F8/10)))))))</f>
        <v>53.863748076895853</v>
      </c>
      <c r="G15" s="16">
        <f>IF(OR($D$4:G$4)=FALSE,"",IF(G$4=FALSE,F15,IF(OR($D$4:F$4)=FALSE,G11,10*LOG(1/(1/10^(G11/10)+1/(10^(F15/10)*10^(G8/10)))))))</f>
        <v>59.999955186665233</v>
      </c>
      <c r="H15" s="16">
        <f>IF(OR($D$4:H$4)=FALSE,"",IF(H$4=FALSE,G15,IF(OR($D$4:G$4)=FALSE,H11,10*LOG(1/(1/10^(H11/10)+1/(10^(G15/10)*10^(H8/10)))))))</f>
        <v>59.999955186665233</v>
      </c>
      <c r="I15" s="16">
        <f>IF(OR($D$4:I$4)=FALSE,"",IF(I$4=FALSE,H15,IF(OR($D$4:H$4)=FALSE,I11,10*LOG(1/(1/10^(I11/10)+1/(10^(H15/10)*10^(I8/10)))))))</f>
        <v>59.999955186665233</v>
      </c>
      <c r="J15" s="16">
        <f>IF(OR($D$4:J$4)=FALSE,"",IF(J$4=FALSE,I15,IF(OR($D$4:I$4)=FALSE,J11,10*LOG(1/(1/10^(J11/10)+1/(10^(I15/10)*10^(J8/10)))))))</f>
        <v>59.999955186665233</v>
      </c>
      <c r="K15" s="16">
        <f>IF(OR($D$4:K$4)=FALSE,"",IF(K$4=FALSE,J15,IF(OR($D$4:J$4)=FALSE,K11,10*LOG(1/(1/10^(K11/10)+1/(10^(J15/10)*10^(K8/10)))))))</f>
        <v>59.999955186665233</v>
      </c>
      <c r="L15" s="16">
        <f>IF(OR($D$4:L$4)=FALSE,"",IF(L$4=FALSE,K15,IF(OR($D$4:K$4)=FALSE,L11,10*LOG(1/(1/10^(L11/10)+1/(10^(K15/10)*10^(L8/10)))))))</f>
        <v>59.999955186665233</v>
      </c>
      <c r="M15" s="16">
        <f>IF(OR($D$4:M$4)=FALSE,"",IF(M$4=FALSE,L15,IF(OR($D$4:L$4)=FALSE,M11,10*LOG(1/(1/10^(M11/10)+1/(10^(L15/10)*10^(M8/10)))))))</f>
        <v>59.999955186665233</v>
      </c>
      <c r="N15" s="16">
        <f>IF(OR($D$4:N$4)=FALSE,"",IF(N$4=FALSE,M15,IF(OR($D$4:M$4)=FALSE,N11,10*LOG(1/(1/10^(N11/10)+1/(10^(M15/10)*10^(N8/10)))))))</f>
        <v>59.999955186665233</v>
      </c>
      <c r="O15" s="16">
        <f>IF(OR($D$4:O$4)=FALSE,"",IF(O$4=FALSE,N15,IF(OR($D$4:N$4)=FALSE,O11,10*LOG(1/(1/10^(O11/10)+1/(10^(N15/10)*10^(O8/10)))))))</f>
        <v>59.999955186665233</v>
      </c>
      <c r="P15" s="16">
        <f>IF(OR($D$4:P$4)=FALSE,"",IF(P$4=FALSE,O15,IF(OR($D$4:O$4)=FALSE,P11,10*LOG(1/(1/10^(P11/10)+1/(10^(O15/10)*10^(P8/10)))))))</f>
        <v>59.999955186665233</v>
      </c>
      <c r="Q15" s="16">
        <f>IF(OR($D$4:Q$4)=FALSE,"",IF(Q$4=FALSE,P15,IF(OR($D$4:P$4)=FALSE,Q11,10*LOG(1/(1/10^(Q11/10)+1/(10^(P15/10)*10^(Q8/10)))))))</f>
        <v>59.999955186665233</v>
      </c>
      <c r="R15" s="16">
        <f>IF(OR($D$4:R$4)=FALSE,"",IF(R$4=FALSE,Q15,IF(OR($D$4:Q$4)=FALSE,R11,10*LOG(1/(1/10^(R11/10)+1/(10^(Q15/10)*10^(R8/10)))))))</f>
        <v>59.999955186665233</v>
      </c>
      <c r="S15" s="6"/>
      <c r="T15" s="6"/>
      <c r="U15" s="6"/>
      <c r="V15" s="6"/>
    </row>
    <row r="16" spans="1:25" ht="17.25" thickTop="1" x14ac:dyDescent="0.15">
      <c r="A16" s="6"/>
      <c r="B16" s="37" t="s">
        <v>37</v>
      </c>
      <c r="C16" s="38" t="s">
        <v>3</v>
      </c>
      <c r="D16" s="14">
        <f>IF(AND(D4&lt;&gt;FALSE,G23&lt;&gt;""),G23,"")</f>
        <v>-50</v>
      </c>
      <c r="E16" s="11">
        <f>IF(OR($D$4:E$4)=FALSE,"",IF(E$4=FALSE,D16,IF(OR($D$4:D$4)=FALSE,$G$23,D17)))</f>
        <v>-51.1</v>
      </c>
      <c r="F16" s="11">
        <f>IF(OR($D$4:F$4)=FALSE,"",IF(F$4=FALSE,E16,IF(OR($D$4:E$4)=FALSE,$G$23,E17)))</f>
        <v>-52.6</v>
      </c>
      <c r="G16" s="11">
        <f>IF(OR($D$4:G$4)=FALSE,"",IF(G$4=FALSE,F16,IF(OR($D$4:F$4)=FALSE,$G$23,F17)))</f>
        <v>-53.7</v>
      </c>
      <c r="H16" s="11">
        <f>IF(OR($D$4:H$4)=FALSE,"",IF(H$4=FALSE,G16,IF(OR($D$4:G$4)=FALSE,$G$23,G17)))</f>
        <v>-53.7</v>
      </c>
      <c r="I16" s="11">
        <f>IF(OR($D$4:I$4)=FALSE,"",IF(I$4=FALSE,H16,IF(OR($D$4:H$4)=FALSE,$G$23,H17)))</f>
        <v>-53.7</v>
      </c>
      <c r="J16" s="11">
        <f>IF(OR($D$4:J$4)=FALSE,"",IF(J$4=FALSE,I16,IF(OR($D$4:I$4)=FALSE,$G$23,I17)))</f>
        <v>-53.7</v>
      </c>
      <c r="K16" s="11">
        <f>IF(OR($D$4:K$4)=FALSE,"",IF(K$4=FALSE,J16,IF(OR($D$4:J$4)=FALSE,$G$23,J17)))</f>
        <v>-53.7</v>
      </c>
      <c r="L16" s="11">
        <f>IF(OR($D$4:L$4)=FALSE,"",IF(L$4=FALSE,K16,IF(OR($D$4:K$4)=FALSE,$G$23,K17)))</f>
        <v>-53.7</v>
      </c>
      <c r="M16" s="11">
        <f>IF(OR($D$4:M$4)=FALSE,"",IF(M$4=FALSE,L16,IF(OR($D$4:L$4)=FALSE,$G$23,L17)))</f>
        <v>-53.7</v>
      </c>
      <c r="N16" s="11">
        <f>IF(OR($D$4:N$4)=FALSE,"",IF(N$4=FALSE,M16,IF(OR($D$4:M$4)=FALSE,$G$23,M17)))</f>
        <v>-53.7</v>
      </c>
      <c r="O16" s="11">
        <f>IF(OR($D$4:O$4)=FALSE,"",IF(O$4=FALSE,N16,IF(OR($D$4:N$4)=FALSE,$G$23,N17)))</f>
        <v>-53.7</v>
      </c>
      <c r="P16" s="11">
        <f>IF(OR($D$4:P$4)=FALSE,"",IF(P$4=FALSE,O16,IF(OR($D$4:O$4)=FALSE,$G$23,O17)))</f>
        <v>-53.7</v>
      </c>
      <c r="Q16" s="11">
        <f>IF(OR($D$4:Q$4)=FALSE,"",IF(Q$4=FALSE,P16,IF(OR($D$4:P$4)=FALSE,$G$23,P17)))</f>
        <v>-53.7</v>
      </c>
      <c r="R16" s="11">
        <f>IF(OR($D$4:R$4)=FALSE,"",IF(R$4=FALSE,Q16,IF(OR($D$4:Q$4)=FALSE,$G$23,Q17)))</f>
        <v>-53.7</v>
      </c>
      <c r="S16" s="6"/>
      <c r="T16" s="6"/>
      <c r="U16" s="6"/>
      <c r="V16" s="6"/>
    </row>
    <row r="17" spans="1:22" x14ac:dyDescent="0.15">
      <c r="A17" s="6"/>
      <c r="B17" s="25" t="s">
        <v>8</v>
      </c>
      <c r="C17" s="26" t="s">
        <v>3</v>
      </c>
      <c r="D17" s="12">
        <f>IF(AND(D4&lt;&gt;FALSE,D8&lt;&gt;"",D16&lt;&gt;""),D16+D8,"")</f>
        <v>-51.1</v>
      </c>
      <c r="E17" s="10">
        <f>IF(AND(E4&lt;&gt;FALSE,E16&lt;&gt;"",E16&lt;&gt;""),E8+E16,D17)</f>
        <v>-52.6</v>
      </c>
      <c r="F17" s="10">
        <f t="shared" ref="F17:M17" si="0">IF(AND(F4&lt;&gt;FALSE,F16&lt;&gt;"",F16&lt;&gt;""),F8+F16,E17)</f>
        <v>-53.7</v>
      </c>
      <c r="G17" s="10">
        <f t="shared" si="0"/>
        <v>2.2999999999999972</v>
      </c>
      <c r="H17" s="10">
        <f t="shared" si="0"/>
        <v>2.2999999999999972</v>
      </c>
      <c r="I17" s="10">
        <f t="shared" si="0"/>
        <v>2.2999999999999972</v>
      </c>
      <c r="J17" s="10">
        <f t="shared" si="0"/>
        <v>2.2999999999999972</v>
      </c>
      <c r="K17" s="10">
        <f t="shared" si="0"/>
        <v>2.2999999999999972</v>
      </c>
      <c r="L17" s="10">
        <f t="shared" si="0"/>
        <v>2.2999999999999972</v>
      </c>
      <c r="M17" s="10">
        <f t="shared" si="0"/>
        <v>2.2999999999999972</v>
      </c>
      <c r="N17" s="10">
        <f>IF(AND(N4&lt;&gt;FALSE,N16&lt;&gt;"",N16&lt;&gt;""),N8+N16,M17)</f>
        <v>2.2999999999999972</v>
      </c>
      <c r="O17" s="10">
        <f>IF(AND(O4&lt;&gt;FALSE,O16&lt;&gt;"",O16&lt;&gt;""),O8+O16,N17)</f>
        <v>2.2999999999999972</v>
      </c>
      <c r="P17" s="10">
        <f>IF(AND(P4&lt;&gt;FALSE,P16&lt;&gt;"",P16&lt;&gt;""),P8+P16,O17)</f>
        <v>2.2999999999999972</v>
      </c>
      <c r="Q17" s="10">
        <f>IF(AND(Q4&lt;&gt;FALSE,Q16&lt;&gt;"",Q16&lt;&gt;""),Q8+Q16,P17)</f>
        <v>2.2999999999999972</v>
      </c>
      <c r="R17" s="10">
        <f>IF(AND(R4&lt;&gt;FALSE,R16&lt;&gt;"",R16&lt;&gt;""),R8+R16,Q17)</f>
        <v>2.2999999999999972</v>
      </c>
      <c r="S17" s="6"/>
      <c r="T17" s="6"/>
      <c r="U17" s="6"/>
      <c r="V17" s="6"/>
    </row>
    <row r="18" spans="1:22" x14ac:dyDescent="0.15">
      <c r="A18" s="6"/>
      <c r="B18" s="27" t="s">
        <v>9</v>
      </c>
      <c r="C18" s="28" t="s">
        <v>1</v>
      </c>
      <c r="D18" s="12">
        <f>IF(AND(D4&lt;&gt;FALSE,D10&lt;&gt;"",D17&lt;&gt;""),D10-D17,"")</f>
        <v>111.1</v>
      </c>
      <c r="E18" s="10">
        <f>IF(AND(E4&lt;&gt;FALSE,E10&lt;&gt;"",E17&lt;&gt;""),E10-E17,D18)</f>
        <v>112.6</v>
      </c>
      <c r="F18" s="10">
        <f t="shared" ref="F18:M18" si="1">IF(AND(F4&lt;&gt;FALSE,F10&lt;&gt;"",F17&lt;&gt;""),F10-F17,E18)</f>
        <v>113.7</v>
      </c>
      <c r="G18" s="10">
        <f t="shared" si="1"/>
        <v>57.7</v>
      </c>
      <c r="H18" s="10">
        <f t="shared" si="1"/>
        <v>57.7</v>
      </c>
      <c r="I18" s="10">
        <f t="shared" si="1"/>
        <v>57.7</v>
      </c>
      <c r="J18" s="10">
        <f t="shared" si="1"/>
        <v>57.7</v>
      </c>
      <c r="K18" s="10">
        <f t="shared" si="1"/>
        <v>57.7</v>
      </c>
      <c r="L18" s="10">
        <f t="shared" si="1"/>
        <v>57.7</v>
      </c>
      <c r="M18" s="10" t="e">
        <f t="shared" si="1"/>
        <v>#N/A</v>
      </c>
      <c r="N18" s="10" t="e">
        <f>IF(AND(N4&lt;&gt;FALSE,N10&lt;&gt;"",N17&lt;&gt;""),N10-N17,M18)</f>
        <v>#N/A</v>
      </c>
      <c r="O18" s="10" t="e">
        <f>IF(AND(O4&lt;&gt;FALSE,O10&lt;&gt;"",O17&lt;&gt;""),O10-O17,N18)</f>
        <v>#N/A</v>
      </c>
      <c r="P18" s="10" t="e">
        <f>IF(AND(P4&lt;&gt;FALSE,P10&lt;&gt;"",P17&lt;&gt;""),P10-P17,O18)</f>
        <v>#N/A</v>
      </c>
      <c r="Q18" s="10" t="e">
        <f>IF(AND(Q4&lt;&gt;FALSE,Q10&lt;&gt;"",Q17&lt;&gt;""),Q10-Q17,P18)</f>
        <v>#N/A</v>
      </c>
      <c r="R18" s="10" t="e">
        <f>IF(AND(R4&lt;&gt;FALSE,R10&lt;&gt;"",R17&lt;&gt;""),R10-R17,Q18)</f>
        <v>#N/A</v>
      </c>
      <c r="S18" s="6"/>
      <c r="T18" s="6"/>
      <c r="U18" s="6"/>
      <c r="V18" s="6"/>
    </row>
    <row r="19" spans="1:22" x14ac:dyDescent="0.15">
      <c r="A19" s="6"/>
      <c r="B19" s="25" t="s">
        <v>10</v>
      </c>
      <c r="C19" s="26" t="s">
        <v>42</v>
      </c>
      <c r="D19" s="12">
        <f>IF(AND(D4&lt;&gt;FALSE,D15&lt;&gt;"",D17&lt;&gt;""),2*(D15-D17),"")</f>
        <v>222.2</v>
      </c>
      <c r="E19" s="10">
        <f>IF(AND(E4&lt;&gt;FALSE,E15&lt;&gt;"",E17&lt;&gt;""),2*(E15-E17),D19)</f>
        <v>217.55051838624826</v>
      </c>
      <c r="F19" s="10">
        <f>IF(AND(F4&lt;&gt;FALSE,F15&lt;&gt;"",F17&lt;&gt;""),2*(F15-F17),E19)</f>
        <v>215.1274961537917</v>
      </c>
      <c r="G19" s="10">
        <f>IF(AND(G4&lt;&gt;FALSE,G15&lt;&gt;"",G17&lt;&gt;""),2*(G15-G17),F19)</f>
        <v>115.39991037333047</v>
      </c>
      <c r="H19" s="10">
        <f>IF(AND(H4&lt;&gt;FALSE,H15&lt;&gt;"",H17&lt;&gt;""),2*(H15-H17),G19)</f>
        <v>115.39991037333047</v>
      </c>
      <c r="I19" s="10">
        <f t="shared" ref="I19:R19" si="2">IF(AND(I4&lt;&gt;FALSE,I15&lt;&gt;"",I17&lt;&gt;""),2*(I15-I17),H19)</f>
        <v>115.39991037333047</v>
      </c>
      <c r="J19" s="10">
        <f t="shared" si="2"/>
        <v>115.39991037333047</v>
      </c>
      <c r="K19" s="10">
        <f t="shared" si="2"/>
        <v>115.39991037333047</v>
      </c>
      <c r="L19" s="10">
        <f t="shared" si="2"/>
        <v>115.39991037333047</v>
      </c>
      <c r="M19" s="10">
        <f t="shared" si="2"/>
        <v>115.39991037333047</v>
      </c>
      <c r="N19" s="10">
        <f t="shared" si="2"/>
        <v>115.39991037333047</v>
      </c>
      <c r="O19" s="10">
        <f t="shared" si="2"/>
        <v>115.39991037333047</v>
      </c>
      <c r="P19" s="10">
        <f t="shared" si="2"/>
        <v>115.39991037333047</v>
      </c>
      <c r="Q19" s="10">
        <f t="shared" si="2"/>
        <v>115.39991037333047</v>
      </c>
      <c r="R19" s="10">
        <f t="shared" si="2"/>
        <v>115.39991037333047</v>
      </c>
      <c r="S19" s="6"/>
      <c r="T19" s="6"/>
      <c r="U19" s="6"/>
      <c r="V19" s="6"/>
    </row>
    <row r="20" spans="1:22" x14ac:dyDescent="0.15">
      <c r="A20" s="6"/>
      <c r="B20" s="39" t="s">
        <v>13</v>
      </c>
      <c r="C20" s="40" t="s">
        <v>1</v>
      </c>
      <c r="D20" s="12">
        <f>IF(AND(D4&lt;&gt;FALSE,D15&lt;&gt;"",D17&lt;&gt;"",$G$28&lt;&gt;""),-20.75+1.6*$G$28+2*(D17-D15),"")</f>
        <v>-226.95</v>
      </c>
      <c r="E20" s="10">
        <f>IF(AND(E4&lt;&gt;FALSE,E15&lt;&gt;"",E17&lt;&gt;"",$G$28&lt;&gt;""),-20.75+1.6*$G$28+2*(E17-E15),D20)</f>
        <v>-222.30051838624826</v>
      </c>
      <c r="F20" s="10">
        <f t="shared" ref="F20:M20" si="3">IF(AND(F4&lt;&gt;FALSE,F15&lt;&gt;"",F17&lt;&gt;"",$G$28&lt;&gt;""),-20.75+1.6*$G$28+2*(F17-F15),E20)</f>
        <v>-219.8774961537917</v>
      </c>
      <c r="G20" s="10">
        <f t="shared" si="3"/>
        <v>-120.14991037333047</v>
      </c>
      <c r="H20" s="10">
        <f t="shared" si="3"/>
        <v>-120.14991037333047</v>
      </c>
      <c r="I20" s="10">
        <f t="shared" si="3"/>
        <v>-120.14991037333047</v>
      </c>
      <c r="J20" s="10">
        <f t="shared" si="3"/>
        <v>-120.14991037333047</v>
      </c>
      <c r="K20" s="10">
        <f t="shared" si="3"/>
        <v>-120.14991037333047</v>
      </c>
      <c r="L20" s="10">
        <f t="shared" si="3"/>
        <v>-120.14991037333047</v>
      </c>
      <c r="M20" s="10">
        <f t="shared" si="3"/>
        <v>-120.14991037333047</v>
      </c>
      <c r="N20" s="10">
        <f>IF(AND(N4&lt;&gt;FALSE,N15&lt;&gt;"",N17&lt;&gt;"",$G$28&lt;&gt;""),-20.75+1.6*$G$28+2*(N17-N15),M20)</f>
        <v>-120.14991037333047</v>
      </c>
      <c r="O20" s="10">
        <f>IF(AND(O4&lt;&gt;FALSE,O15&lt;&gt;"",O17&lt;&gt;"",$G$28&lt;&gt;""),-20.75+1.6*$G$28+2*(O17-O15),N20)</f>
        <v>-120.14991037333047</v>
      </c>
      <c r="P20" s="10">
        <f>IF(AND(P4&lt;&gt;FALSE,P15&lt;&gt;"",P17&lt;&gt;"",$G$28&lt;&gt;""),-20.75+1.6*$G$28+2*(P17-P15),O20)</f>
        <v>-120.14991037333047</v>
      </c>
      <c r="Q20" s="10">
        <f>IF(AND(Q4&lt;&gt;FALSE,Q15&lt;&gt;"",Q17&lt;&gt;"",$G$28&lt;&gt;""),-20.75+1.6*$G$28+2*(Q17-Q15),P20)</f>
        <v>-120.14991037333047</v>
      </c>
      <c r="R20" s="10">
        <f>IF(AND(R4&lt;&gt;FALSE,R15&lt;&gt;"",R17&lt;&gt;"",$G$28&lt;&gt;""),-20.75+1.6*$G$28+2*(R17-R15),Q20)</f>
        <v>-120.14991037333047</v>
      </c>
      <c r="S20" s="6"/>
      <c r="T20" s="6"/>
      <c r="U20" s="6"/>
      <c r="V20" s="6"/>
    </row>
    <row r="21" spans="1:22" x14ac:dyDescent="0.1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</row>
    <row r="22" spans="1:22" x14ac:dyDescent="0.15">
      <c r="A22" s="6"/>
      <c r="B22" s="44"/>
      <c r="C22" s="44"/>
      <c r="D22" s="74" t="s">
        <v>11</v>
      </c>
      <c r="E22" s="74"/>
      <c r="F22" s="74"/>
      <c r="G22" s="74"/>
      <c r="H22" s="46"/>
      <c r="I22" s="68" t="s">
        <v>48</v>
      </c>
      <c r="J22" s="69"/>
      <c r="K22" s="69"/>
      <c r="L22" s="69"/>
      <c r="M22" s="70"/>
      <c r="N22" s="6"/>
      <c r="O22" s="65" t="s">
        <v>19</v>
      </c>
      <c r="P22" s="66"/>
      <c r="Q22" s="66"/>
      <c r="R22" s="67"/>
      <c r="S22" s="6"/>
      <c r="T22" s="6"/>
      <c r="U22" s="6"/>
      <c r="V22" s="6"/>
    </row>
    <row r="23" spans="1:22" x14ac:dyDescent="0.15">
      <c r="A23" s="6"/>
      <c r="B23" s="44"/>
      <c r="C23" s="44"/>
      <c r="D23" s="74" t="s">
        <v>37</v>
      </c>
      <c r="E23" s="74"/>
      <c r="F23" s="19" t="s">
        <v>3</v>
      </c>
      <c r="G23" s="20">
        <v>-50</v>
      </c>
      <c r="H23" s="6"/>
      <c r="I23" s="74" t="s">
        <v>16</v>
      </c>
      <c r="J23" s="74"/>
      <c r="K23" s="74"/>
      <c r="L23" s="19" t="s">
        <v>3</v>
      </c>
      <c r="M23" s="12">
        <f>IF(AND(G25&lt;&gt;"",G27&lt;&gt;"",G26&lt;&gt;""),10*LOG(1.3806505*10^(-20)*G25*10^6*G27)+LOOKUP(9E+307,13:13)+G26,"")</f>
        <v>-98.614574719691234</v>
      </c>
      <c r="N23" s="6"/>
      <c r="O23" s="71" t="s">
        <v>21</v>
      </c>
      <c r="P23" s="72"/>
      <c r="Q23" s="72"/>
      <c r="R23" s="73"/>
      <c r="S23" s="6"/>
      <c r="T23" s="6"/>
      <c r="U23" s="6"/>
      <c r="V23" s="6"/>
    </row>
    <row r="24" spans="1:22" x14ac:dyDescent="0.15">
      <c r="A24" s="6"/>
      <c r="B24" s="44"/>
      <c r="C24" s="44"/>
      <c r="D24" s="74" t="s">
        <v>14</v>
      </c>
      <c r="E24" s="74"/>
      <c r="F24" s="19" t="s">
        <v>1</v>
      </c>
      <c r="G24" s="20">
        <v>10</v>
      </c>
      <c r="H24" s="6"/>
      <c r="I24" s="74" t="s">
        <v>17</v>
      </c>
      <c r="J24" s="74"/>
      <c r="K24" s="74"/>
      <c r="L24" s="19" t="s">
        <v>49</v>
      </c>
      <c r="M24" s="12">
        <f>IF(AND(G27&lt;&gt;""),10*LOG(1.3806505*10^(-20)*G27)+LOOKUP(9E+307,13:13),"")</f>
        <v>-167.15699981408449</v>
      </c>
      <c r="N24" s="6"/>
      <c r="O24" s="71" t="s">
        <v>51</v>
      </c>
      <c r="P24" s="72"/>
      <c r="Q24" s="72"/>
      <c r="R24" s="73"/>
      <c r="S24" s="6"/>
      <c r="T24" s="6"/>
      <c r="U24" s="6"/>
      <c r="V24" s="6"/>
    </row>
    <row r="25" spans="1:22" x14ac:dyDescent="0.15">
      <c r="A25" s="6"/>
      <c r="B25" s="44"/>
      <c r="C25" s="44"/>
      <c r="D25" s="74" t="s">
        <v>43</v>
      </c>
      <c r="E25" s="74"/>
      <c r="F25" s="19" t="s">
        <v>25</v>
      </c>
      <c r="G25" s="20">
        <v>9</v>
      </c>
      <c r="H25" s="6"/>
      <c r="I25" s="74" t="s">
        <v>22</v>
      </c>
      <c r="J25" s="74"/>
      <c r="K25" s="74"/>
      <c r="L25" s="19" t="s">
        <v>20</v>
      </c>
      <c r="M25" s="12">
        <f>IF(AND(M24&lt;&gt;""),M24+LOOKUP(9E+307,12:12),"")</f>
        <v>-114.85699981408449</v>
      </c>
      <c r="N25" s="6"/>
      <c r="O25" s="71" t="s">
        <v>33</v>
      </c>
      <c r="P25" s="72"/>
      <c r="Q25" s="72"/>
      <c r="R25" s="73"/>
      <c r="S25" s="6"/>
      <c r="T25" s="6"/>
      <c r="U25" s="6"/>
      <c r="V25" s="6"/>
    </row>
    <row r="26" spans="1:22" x14ac:dyDescent="0.15">
      <c r="A26" s="6"/>
      <c r="B26" s="44"/>
      <c r="C26" s="44"/>
      <c r="D26" s="74" t="s">
        <v>44</v>
      </c>
      <c r="E26" s="74"/>
      <c r="F26" s="19" t="s">
        <v>1</v>
      </c>
      <c r="G26" s="20">
        <v>-1</v>
      </c>
      <c r="H26" s="6"/>
      <c r="I26" s="74" t="s">
        <v>15</v>
      </c>
      <c r="J26" s="74"/>
      <c r="K26" s="74"/>
      <c r="L26" s="19" t="s">
        <v>20</v>
      </c>
      <c r="M26" s="12">
        <f>IF(AND(G25&lt;&gt;"",G27&lt;&gt;""),10*LOG(1.3806505*10^(-20)*G25*10^6*G27)+LOOKUP(9E+307,13:13),"")</f>
        <v>-97.614574719691234</v>
      </c>
      <c r="N26" s="6"/>
      <c r="O26" s="71" t="s">
        <v>34</v>
      </c>
      <c r="P26" s="72"/>
      <c r="Q26" s="72"/>
      <c r="R26" s="73"/>
      <c r="S26" s="6"/>
      <c r="T26" s="6"/>
      <c r="U26" s="6"/>
      <c r="V26" s="6"/>
    </row>
    <row r="27" spans="1:22" x14ac:dyDescent="0.15">
      <c r="A27" s="6"/>
      <c r="B27" s="44"/>
      <c r="C27" s="44"/>
      <c r="D27" s="74" t="s">
        <v>45</v>
      </c>
      <c r="E27" s="74"/>
      <c r="F27" s="19" t="s">
        <v>46</v>
      </c>
      <c r="G27" s="20">
        <v>298</v>
      </c>
      <c r="H27" s="6"/>
      <c r="I27" s="74" t="s">
        <v>18</v>
      </c>
      <c r="J27" s="74"/>
      <c r="K27" s="74"/>
      <c r="L27" s="19" t="s">
        <v>20</v>
      </c>
      <c r="M27" s="12">
        <f>IF(AND(M26&lt;&gt;""),M26+LOOKUP(9E+307,12:12),"")</f>
        <v>-45.314574719691237</v>
      </c>
      <c r="N27" s="6"/>
      <c r="O27" s="71" t="s">
        <v>23</v>
      </c>
      <c r="P27" s="72"/>
      <c r="Q27" s="72"/>
      <c r="R27" s="73"/>
      <c r="S27" s="6"/>
      <c r="T27" s="6"/>
      <c r="U27" s="6"/>
      <c r="V27" s="6"/>
    </row>
    <row r="28" spans="1:22" x14ac:dyDescent="0.15">
      <c r="A28" s="6"/>
      <c r="B28" s="44"/>
      <c r="C28" s="44"/>
      <c r="D28" s="74" t="s">
        <v>12</v>
      </c>
      <c r="E28" s="74"/>
      <c r="F28" s="19" t="s">
        <v>1</v>
      </c>
      <c r="G28" s="20">
        <v>10</v>
      </c>
      <c r="H28" s="6"/>
      <c r="I28" s="74" t="s">
        <v>50</v>
      </c>
      <c r="J28" s="74"/>
      <c r="K28" s="74"/>
      <c r="L28" s="19" t="s">
        <v>1</v>
      </c>
      <c r="M28" s="12">
        <f>G23-M26</f>
        <v>47.614574719691234</v>
      </c>
      <c r="N28" s="6"/>
      <c r="O28" s="71" t="s">
        <v>35</v>
      </c>
      <c r="P28" s="72"/>
      <c r="Q28" s="72"/>
      <c r="R28" s="73"/>
      <c r="S28" s="6"/>
      <c r="T28" s="6"/>
      <c r="U28" s="6"/>
      <c r="V28" s="6"/>
    </row>
    <row r="29" spans="1:22" x14ac:dyDescent="0.15">
      <c r="A29" s="6"/>
      <c r="B29" s="44"/>
      <c r="C29" s="44"/>
      <c r="D29" s="74" t="s">
        <v>28</v>
      </c>
      <c r="E29" s="74"/>
      <c r="F29" s="19"/>
      <c r="G29" s="20" t="s">
        <v>116</v>
      </c>
      <c r="H29" s="47"/>
      <c r="I29" s="74" t="s">
        <v>27</v>
      </c>
      <c r="J29" s="74"/>
      <c r="K29" s="74"/>
      <c r="L29" s="19"/>
      <c r="M29" s="18" t="str">
        <f>IF(G29="是",IF(LOOKUP(9E+307,17:17)&gt;G31,"起控","未起控"),"无效")</f>
        <v>无效</v>
      </c>
      <c r="N29" s="6"/>
      <c r="O29" s="6"/>
      <c r="P29" s="6"/>
      <c r="Q29" s="6"/>
      <c r="R29" s="6"/>
      <c r="S29" s="6"/>
      <c r="T29" s="6"/>
      <c r="U29" s="6"/>
      <c r="V29" s="6"/>
    </row>
    <row r="30" spans="1:22" x14ac:dyDescent="0.15">
      <c r="A30" s="6"/>
      <c r="B30" s="6"/>
      <c r="C30" s="6"/>
      <c r="D30" s="74" t="s">
        <v>60</v>
      </c>
      <c r="E30" s="74"/>
      <c r="F30" s="19"/>
      <c r="G30" s="20">
        <v>6</v>
      </c>
      <c r="H30" s="6"/>
      <c r="I30" s="74" t="s">
        <v>32</v>
      </c>
      <c r="J30" s="74"/>
      <c r="K30" s="74"/>
      <c r="L30" s="19" t="s">
        <v>1</v>
      </c>
      <c r="M30" s="12">
        <f>LOOKUP(9E+307,17:17)-G31</f>
        <v>-14.700000000000003</v>
      </c>
      <c r="N30" s="6"/>
      <c r="O30" s="6"/>
      <c r="P30" s="6"/>
      <c r="Q30" s="6"/>
      <c r="R30" s="6"/>
      <c r="S30" s="6"/>
      <c r="T30" s="6"/>
      <c r="U30" s="6"/>
      <c r="V30" s="6"/>
    </row>
    <row r="31" spans="1:22" x14ac:dyDescent="0.15">
      <c r="A31" s="6"/>
      <c r="B31" s="6"/>
      <c r="C31" s="6"/>
      <c r="D31" s="74" t="s">
        <v>47</v>
      </c>
      <c r="E31" s="74"/>
      <c r="F31" s="19" t="s">
        <v>3</v>
      </c>
      <c r="G31" s="20">
        <v>17</v>
      </c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</row>
    <row r="32" spans="1:22" x14ac:dyDescent="0.15">
      <c r="A32" s="6"/>
      <c r="B32" s="6"/>
      <c r="C32" s="6"/>
      <c r="D32" s="6" t="s">
        <v>68</v>
      </c>
      <c r="E32" s="6"/>
      <c r="F32" s="6"/>
      <c r="G32" s="6">
        <v>65</v>
      </c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</row>
    <row r="33" spans="1:22" x14ac:dyDescent="0.15">
      <c r="A33" s="6"/>
      <c r="B33" s="6"/>
      <c r="C33" s="6"/>
      <c r="D33" s="44"/>
      <c r="E33" s="44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</row>
    <row r="34" spans="1:22" x14ac:dyDescent="0.15">
      <c r="A34" s="6"/>
      <c r="B34" s="6"/>
      <c r="C34" s="6"/>
      <c r="D34" s="44"/>
      <c r="E34" s="44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</row>
    <row r="35" spans="1:22" x14ac:dyDescent="0.15">
      <c r="A35" s="6"/>
      <c r="B35" s="6"/>
      <c r="C35" s="6"/>
      <c r="D35" s="44"/>
      <c r="E35" s="44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</row>
    <row r="36" spans="1:22" x14ac:dyDescent="0.15">
      <c r="C36" s="6"/>
      <c r="D36" s="44"/>
      <c r="E36" s="44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</row>
    <row r="37" spans="1:22" x14ac:dyDescent="0.15">
      <c r="D37" s="44"/>
      <c r="E37" s="44"/>
      <c r="F37" s="6"/>
      <c r="G37" s="6"/>
    </row>
    <row r="38" spans="1:22" x14ac:dyDescent="0.15">
      <c r="D38" s="44"/>
      <c r="E38" s="44"/>
    </row>
    <row r="39" spans="1:22" x14ac:dyDescent="0.15">
      <c r="D39" s="44"/>
      <c r="E39" s="44"/>
    </row>
  </sheetData>
  <mergeCells count="27">
    <mergeCell ref="B1:C3"/>
    <mergeCell ref="D22:G22"/>
    <mergeCell ref="I22:M22"/>
    <mergeCell ref="O22:R22"/>
    <mergeCell ref="D23:E23"/>
    <mergeCell ref="I23:K23"/>
    <mergeCell ref="O23:R23"/>
    <mergeCell ref="D24:E24"/>
    <mergeCell ref="I24:K24"/>
    <mergeCell ref="O24:R24"/>
    <mergeCell ref="D25:E25"/>
    <mergeCell ref="I25:K25"/>
    <mergeCell ref="O25:R25"/>
    <mergeCell ref="D26:E26"/>
    <mergeCell ref="I26:K26"/>
    <mergeCell ref="O26:R26"/>
    <mergeCell ref="D27:E27"/>
    <mergeCell ref="I27:K27"/>
    <mergeCell ref="O27:R27"/>
    <mergeCell ref="D31:E31"/>
    <mergeCell ref="D28:E28"/>
    <mergeCell ref="I28:K28"/>
    <mergeCell ref="O28:R28"/>
    <mergeCell ref="D29:E29"/>
    <mergeCell ref="I29:K29"/>
    <mergeCell ref="D30:E30"/>
    <mergeCell ref="I30:K30"/>
  </mergeCells>
  <phoneticPr fontId="16" type="noConversion"/>
  <conditionalFormatting sqref="D18:R18">
    <cfRule type="cellIs" dxfId="25" priority="11" operator="lessThan">
      <formula>$G24</formula>
    </cfRule>
  </conditionalFormatting>
  <conditionalFormatting sqref="D5:R11">
    <cfRule type="expression" dxfId="24" priority="10">
      <formula>D$4=FALSE</formula>
    </cfRule>
  </conditionalFormatting>
  <conditionalFormatting sqref="M29">
    <cfRule type="cellIs" dxfId="23" priority="8" operator="equal">
      <formula>"未起控"</formula>
    </cfRule>
    <cfRule type="cellIs" dxfId="22" priority="9" operator="equal">
      <formula>"起控"</formula>
    </cfRule>
  </conditionalFormatting>
  <conditionalFormatting sqref="D12:R20">
    <cfRule type="expression" dxfId="21" priority="3">
      <formula>D$4=FALSE</formula>
    </cfRule>
  </conditionalFormatting>
  <conditionalFormatting sqref="D4:I4 K4:R4">
    <cfRule type="cellIs" dxfId="20" priority="6" operator="equal">
      <formula>FALSE</formula>
    </cfRule>
    <cfRule type="cellIs" dxfId="19" priority="7" operator="equal">
      <formula>TRUE</formula>
    </cfRule>
  </conditionalFormatting>
  <conditionalFormatting sqref="J4">
    <cfRule type="cellIs" dxfId="18" priority="4" operator="equal">
      <formula>FALSE</formula>
    </cfRule>
    <cfRule type="cellIs" dxfId="17" priority="5" operator="equal">
      <formula>TRUE</formula>
    </cfRule>
  </conditionalFormatting>
  <conditionalFormatting sqref="N13">
    <cfRule type="expression" dxfId="16" priority="1" stopIfTrue="1">
      <formula>$H$24&lt;0</formula>
    </cfRule>
    <cfRule type="expression" dxfId="15" priority="2">
      <formula>$H$24&gt;0</formula>
    </cfRule>
  </conditionalFormatting>
  <pageMargins left="0.7" right="0.7" top="0.75" bottom="0.75" header="0.3" footer="0.3"/>
  <pageSetup paperSize="9" scale="49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217" r:id="rId4" name="交换">
          <controlPr autoLine="0" r:id="rId5">
            <anchor moveWithCells="1">
              <from>
                <xdr:col>0</xdr:col>
                <xdr:colOff>66675</xdr:colOff>
                <xdr:row>2</xdr:row>
                <xdr:rowOff>200025</xdr:rowOff>
              </from>
              <to>
                <xdr:col>1</xdr:col>
                <xdr:colOff>0</xdr:colOff>
                <xdr:row>4</xdr:row>
                <xdr:rowOff>57150</xdr:rowOff>
              </to>
            </anchor>
          </controlPr>
        </control>
      </mc:Choice>
      <mc:Fallback>
        <control shapeId="92217" r:id="rId4" name="交换"/>
      </mc:Fallback>
    </mc:AlternateContent>
    <mc:AlternateContent xmlns:mc="http://schemas.openxmlformats.org/markup-compatibility/2006">
      <mc:Choice Requires="x14">
        <control shapeId="92218" r:id="rId6" name="stage2">
          <controlPr autoLine="0" r:id="rId7">
            <anchor moveWithCells="1">
              <from>
                <xdr:col>0</xdr:col>
                <xdr:colOff>66675</xdr:colOff>
                <xdr:row>5</xdr:row>
                <xdr:rowOff>104775</xdr:rowOff>
              </from>
              <to>
                <xdr:col>1</xdr:col>
                <xdr:colOff>0</xdr:colOff>
                <xdr:row>6</xdr:row>
                <xdr:rowOff>76200</xdr:rowOff>
              </to>
            </anchor>
          </controlPr>
        </control>
      </mc:Choice>
      <mc:Fallback>
        <control shapeId="92218" r:id="rId6" name="stage2"/>
      </mc:Fallback>
    </mc:AlternateContent>
    <mc:AlternateContent xmlns:mc="http://schemas.openxmlformats.org/markup-compatibility/2006">
      <mc:Choice Requires="x14">
        <control shapeId="92219" r:id="rId8" name="stage_num_set">
          <controlPr autoLine="0" r:id="rId9">
            <anchor moveWithCells="1">
              <from>
                <xdr:col>0</xdr:col>
                <xdr:colOff>66675</xdr:colOff>
                <xdr:row>8</xdr:row>
                <xdr:rowOff>38100</xdr:rowOff>
              </from>
              <to>
                <xdr:col>1</xdr:col>
                <xdr:colOff>0</xdr:colOff>
                <xdr:row>9</xdr:row>
                <xdr:rowOff>114300</xdr:rowOff>
              </to>
            </anchor>
          </controlPr>
        </control>
      </mc:Choice>
      <mc:Fallback>
        <control shapeId="92219" r:id="rId8" name="stage_num_set"/>
      </mc:Fallback>
    </mc:AlternateContent>
    <mc:AlternateContent xmlns:mc="http://schemas.openxmlformats.org/markup-compatibility/2006">
      <mc:Choice Requires="x14">
        <control shapeId="92220" r:id="rId10" name="stage_num">
          <controlPr autoLine="0" r:id="rId11">
            <anchor moveWithCells="1">
              <from>
                <xdr:col>0</xdr:col>
                <xdr:colOff>66675</xdr:colOff>
                <xdr:row>9</xdr:row>
                <xdr:rowOff>114300</xdr:rowOff>
              </from>
              <to>
                <xdr:col>1</xdr:col>
                <xdr:colOff>0</xdr:colOff>
                <xdr:row>10</xdr:row>
                <xdr:rowOff>152400</xdr:rowOff>
              </to>
            </anchor>
          </controlPr>
        </control>
      </mc:Choice>
      <mc:Fallback>
        <control shapeId="92220" r:id="rId10" name="stage_num"/>
      </mc:Fallback>
    </mc:AlternateContent>
    <mc:AlternateContent xmlns:mc="http://schemas.openxmlformats.org/markup-compatibility/2006">
      <mc:Choice Requires="x14">
        <control shapeId="92221" r:id="rId12" name="stage1">
          <controlPr autoLine="0" r:id="rId13">
            <anchor moveWithCells="1">
              <from>
                <xdr:col>0</xdr:col>
                <xdr:colOff>66675</xdr:colOff>
                <xdr:row>4</xdr:row>
                <xdr:rowOff>57150</xdr:rowOff>
              </from>
              <to>
                <xdr:col>1</xdr:col>
                <xdr:colOff>0</xdr:colOff>
                <xdr:row>5</xdr:row>
                <xdr:rowOff>104775</xdr:rowOff>
              </to>
            </anchor>
          </controlPr>
        </control>
      </mc:Choice>
      <mc:Fallback>
        <control shapeId="92221" r:id="rId12" name="stage1"/>
      </mc:Fallback>
    </mc:AlternateContent>
    <mc:AlternateContent xmlns:mc="http://schemas.openxmlformats.org/markup-compatibility/2006">
      <mc:Choice Requires="x14">
        <control shapeId="92161" r:id="rId14" name="Check Box 1">
          <controlPr defaultSize="0" autoFill="0" autoLine="0" autoPict="0" macro="[0]!复选框10_Click" altText="启用">
            <anchor moveWithCells="1">
              <from>
                <xdr:col>4</xdr:col>
                <xdr:colOff>152400</xdr:colOff>
                <xdr:row>2</xdr:row>
                <xdr:rowOff>200025</xdr:rowOff>
              </from>
              <to>
                <xdr:col>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62" r:id="rId15" name="Check Box 2">
          <controlPr defaultSize="0" autoFill="0" autoLine="0" autoPict="0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63" r:id="rId16" name="Check Box 3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64" r:id="rId17" name="Check Box 4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65" r:id="rId18" name="Check Box 5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66" r:id="rId19" name="Check Box 6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67" r:id="rId20" name="Check Box 7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68" r:id="rId21" name="Check Box 8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69" r:id="rId22" name="Check Box 9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70" r:id="rId23" name="Check Box 10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71" r:id="rId24" name="Check Box 11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72" r:id="rId25" name="Check Box 12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73" r:id="rId26" name="Check Box 13">
          <controlPr defaultSize="0" autoFill="0" autoLine="0" autoPict="0" altText="启用">
            <anchor moveWithCells="1">
              <from>
                <xdr:col>4</xdr:col>
                <xdr:colOff>152400</xdr:colOff>
                <xdr:row>2</xdr:row>
                <xdr:rowOff>200025</xdr:rowOff>
              </from>
              <to>
                <xdr:col>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74" r:id="rId27" name="Check Box 14">
          <controlPr defaultSize="0" autoFill="0" autoLine="0" autoPict="0" macro="[0]!复选框10_Click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75" r:id="rId28" name="Check Box 15">
          <controlPr defaultSize="0" autoFill="0" autoLine="0" autoPict="0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76" r:id="rId29" name="Check Box 16">
          <controlPr defaultSize="0" autoFill="0" autoLine="0" autoPict="0" macro="[0]!复选框10_Click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77" r:id="rId30" name="Check Box 17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78" r:id="rId31" name="Check Box 18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79" r:id="rId32" name="Check Box 19">
          <controlPr defaultSize="0" autoFill="0" autoLine="0" autoPict="0" macro="[0]!复选框10_Click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0" r:id="rId33" name="Check Box 20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1" r:id="rId34" name="Check Box 21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2" r:id="rId35" name="Check Box 22">
          <controlPr defaultSize="0" autoFill="0" autoLine="0" autoPict="0" macro="[0]!复选框10_Click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3" r:id="rId36" name="Check Box 23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4" r:id="rId37" name="Check Box 24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5" r:id="rId38" name="Check Box 25">
          <controlPr defaultSize="0" autoFill="0" autoLine="0" autoPict="0" macro="[0]!复选框10_Click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6" r:id="rId39" name="Check Box 26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7" r:id="rId40" name="Check Box 27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8" r:id="rId41" name="Check Box 28">
          <controlPr defaultSize="0" autoFill="0" autoLine="0" autoPict="0" macro="[0]!复选框10_Click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9" r:id="rId42" name="Check Box 29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0" r:id="rId43" name="Check Box 30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1" r:id="rId44" name="Check Box 31">
          <controlPr defaultSize="0" autoFill="0" autoLine="0" autoPict="0" macro="[0]!复选框10_Click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2" r:id="rId45" name="Check Box 32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3" r:id="rId46" name="Check Box 33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4" r:id="rId47" name="Check Box 34">
          <controlPr defaultSize="0" autoFill="0" autoLine="0" autoPict="0" macro="[0]!复选框10_Click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5" r:id="rId48" name="Check Box 35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6" r:id="rId49" name="Check Box 36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7" r:id="rId50" name="Check Box 37">
          <controlPr defaultSize="0" autoFill="0" autoLine="0" autoPict="0" macro="[0]!复选框10_Click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8" r:id="rId51" name="Check Box 38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9" r:id="rId52" name="Check Box 39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00" r:id="rId53" name="Check Box 40">
          <controlPr defaultSize="0" autoFill="0" autoLine="0" autoPict="0" macro="[0]!复选框10_Click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01" r:id="rId54" name="Check Box 41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02" r:id="rId55" name="Check Box 42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03" r:id="rId56" name="Check Box 43">
          <controlPr defaultSize="0" autoFill="0" autoLine="0" autoPict="0" macro="[0]!复选框10_Click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04" r:id="rId57" name="Check Box 44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05" r:id="rId58" name="Check Box 45">
          <controlPr defaultSize="0" autoFill="0" autoLine="0" autoPict="0" altText="启用">
            <anchor moveWithCells="1">
              <from>
                <xdr:col>3</xdr:col>
                <xdr:colOff>152400</xdr:colOff>
                <xdr:row>2</xdr:row>
                <xdr:rowOff>200025</xdr:rowOff>
              </from>
              <to>
                <xdr:col>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06" r:id="rId59" name="Check Box 46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07" r:id="rId60" name="Check Box 47">
          <controlPr defaultSize="0" autoFill="0" autoLine="0" autoPict="0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08" r:id="rId61" name="Check Box 48">
          <controlPr defaultSize="0" autoFill="0" autoLine="0" autoPict="0" macro="[0]!复选框10_Click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09" r:id="rId62" name="Check Box 49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10" r:id="rId63" name="Check Box 50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11" r:id="rId64" name="Check Box 51">
          <controlPr defaultSize="0" autoFill="0" autoLine="0" autoPict="0" macro="[0]!复选框10_Click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12" r:id="rId65" name="Check Box 52">
          <controlPr defaultSize="0" autoFill="0" autoLine="0" autoPict="0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13" r:id="rId66" name="Check Box 53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14" r:id="rId67" name="Check Box 54">
          <controlPr defaultSize="0" autoFill="0" autoLine="0" autoPict="0" macro="[0]!复选框10_Click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15" r:id="rId68" name="Check Box 55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16" r:id="rId69" name="Check Box 56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Y41"/>
  <sheetViews>
    <sheetView showGridLines="0" zoomScale="106" zoomScaleNormal="106" workbookViewId="0">
      <pane xSplit="3" topLeftCell="D1" activePane="topRight" state="frozen"/>
      <selection pane="topRight" activeCell="H9" sqref="H9"/>
    </sheetView>
  </sheetViews>
  <sheetFormatPr defaultRowHeight="16.5" x14ac:dyDescent="0.15"/>
  <cols>
    <col min="1" max="1" width="9" style="2"/>
    <col min="2" max="2" width="16.75" style="1" customWidth="1"/>
    <col min="3" max="3" width="6" style="2" bestFit="1" customWidth="1"/>
    <col min="4" max="18" width="12.625" style="2" customWidth="1"/>
    <col min="19" max="16384" width="9" style="2"/>
  </cols>
  <sheetData>
    <row r="1" spans="1:25" ht="45.75" customHeight="1" x14ac:dyDescent="0.15">
      <c r="A1" s="6"/>
      <c r="B1" s="63" t="s">
        <v>61</v>
      </c>
      <c r="C1" s="63"/>
      <c r="D1" s="6"/>
      <c r="E1"/>
      <c r="F1"/>
      <c r="G1"/>
      <c r="H1"/>
      <c r="I1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</row>
    <row r="2" spans="1:25" ht="16.5" customHeight="1" x14ac:dyDescent="0.15">
      <c r="A2"/>
      <c r="B2" s="63"/>
      <c r="C2" s="63"/>
      <c r="D2" s="8">
        <f>数据源!J5</f>
        <v>0</v>
      </c>
      <c r="E2" s="6"/>
      <c r="F2" s="6"/>
      <c r="G2" s="6"/>
      <c r="H2"/>
      <c r="I2"/>
      <c r="J2"/>
      <c r="K2"/>
      <c r="L2" s="6"/>
      <c r="M2" s="6"/>
      <c r="N2" s="6"/>
      <c r="O2" s="6"/>
      <c r="P2" s="6"/>
      <c r="Q2" s="6"/>
      <c r="R2" s="6"/>
      <c r="S2" s="6"/>
      <c r="T2" s="6"/>
      <c r="U2" s="6"/>
      <c r="V2" s="6"/>
    </row>
    <row r="3" spans="1:25" ht="16.5" customHeight="1" x14ac:dyDescent="0.15">
      <c r="A3"/>
      <c r="B3" s="64"/>
      <c r="C3" s="64"/>
      <c r="D3" s="25">
        <v>1</v>
      </c>
      <c r="E3" s="25">
        <v>2</v>
      </c>
      <c r="F3" s="25">
        <v>3</v>
      </c>
      <c r="G3" s="25">
        <v>4</v>
      </c>
      <c r="H3" s="25">
        <v>5</v>
      </c>
      <c r="I3" s="25">
        <v>6</v>
      </c>
      <c r="J3" s="25">
        <v>7</v>
      </c>
      <c r="K3" s="25">
        <v>8</v>
      </c>
      <c r="L3" s="25">
        <v>9</v>
      </c>
      <c r="M3" s="25">
        <v>10</v>
      </c>
      <c r="N3" s="25">
        <v>11</v>
      </c>
      <c r="O3" s="25">
        <v>12</v>
      </c>
      <c r="P3" s="25">
        <v>13</v>
      </c>
      <c r="Q3" s="25">
        <v>14</v>
      </c>
      <c r="R3" s="25">
        <v>15</v>
      </c>
      <c r="S3" s="6"/>
      <c r="T3" s="6"/>
      <c r="U3" s="6"/>
      <c r="V3"/>
      <c r="W3"/>
      <c r="X3"/>
      <c r="Y3"/>
    </row>
    <row r="4" spans="1:25" x14ac:dyDescent="0.15">
      <c r="A4"/>
      <c r="B4" s="25"/>
      <c r="C4" s="28" t="s">
        <v>38</v>
      </c>
      <c r="D4" s="23" t="b">
        <v>1</v>
      </c>
      <c r="E4" s="24" t="b">
        <v>1</v>
      </c>
      <c r="F4" s="24" t="b">
        <v>1</v>
      </c>
      <c r="G4" s="24" t="b">
        <v>1</v>
      </c>
      <c r="H4" s="24" t="b">
        <v>1</v>
      </c>
      <c r="I4" s="24" t="b">
        <v>0</v>
      </c>
      <c r="J4" s="24" t="b">
        <v>0</v>
      </c>
      <c r="K4" s="24" t="b">
        <v>0</v>
      </c>
      <c r="L4" s="24" t="b">
        <v>0</v>
      </c>
      <c r="M4" s="24" t="b">
        <v>0</v>
      </c>
      <c r="N4" s="24" t="b">
        <v>0</v>
      </c>
      <c r="O4" s="24" t="b">
        <v>0</v>
      </c>
      <c r="P4" s="24" t="b">
        <v>0</v>
      </c>
      <c r="Q4" s="24" t="b">
        <v>0</v>
      </c>
      <c r="R4" s="24" t="b">
        <v>0</v>
      </c>
      <c r="S4"/>
      <c r="T4"/>
      <c r="U4"/>
      <c r="V4"/>
      <c r="W4"/>
      <c r="X4"/>
      <c r="Y4"/>
    </row>
    <row r="5" spans="1:25" s="4" customFormat="1" x14ac:dyDescent="0.15">
      <c r="A5"/>
      <c r="B5" s="25" t="s">
        <v>24</v>
      </c>
      <c r="C5" s="26"/>
      <c r="D5" s="21" t="s">
        <v>83</v>
      </c>
      <c r="E5" s="21" t="s">
        <v>79</v>
      </c>
      <c r="F5" s="21" t="s">
        <v>76</v>
      </c>
      <c r="G5" s="21" t="s">
        <v>52</v>
      </c>
      <c r="H5" s="21" t="s">
        <v>77</v>
      </c>
      <c r="I5" s="21" t="s">
        <v>77</v>
      </c>
      <c r="J5" s="21" t="s">
        <v>52</v>
      </c>
      <c r="K5" s="21" t="s">
        <v>77</v>
      </c>
      <c r="L5" s="21" t="s">
        <v>29</v>
      </c>
      <c r="M5" s="21" t="s">
        <v>30</v>
      </c>
      <c r="N5" s="21" t="s">
        <v>30</v>
      </c>
      <c r="O5" s="21" t="s">
        <v>63</v>
      </c>
      <c r="P5" s="21" t="s">
        <v>31</v>
      </c>
      <c r="Q5" s="21" t="s">
        <v>29</v>
      </c>
      <c r="R5" s="21" t="s">
        <v>29</v>
      </c>
      <c r="S5"/>
      <c r="T5"/>
      <c r="U5"/>
      <c r="V5"/>
      <c r="W5"/>
      <c r="X5"/>
      <c r="Y5"/>
    </row>
    <row r="6" spans="1:25" s="4" customFormat="1" x14ac:dyDescent="0.15">
      <c r="A6"/>
      <c r="B6" s="27" t="s">
        <v>0</v>
      </c>
      <c r="C6" s="26"/>
      <c r="D6" s="43" t="s">
        <v>93</v>
      </c>
      <c r="E6" s="43" t="s">
        <v>102</v>
      </c>
      <c r="F6" s="43" t="s">
        <v>75</v>
      </c>
      <c r="G6" s="43" t="s">
        <v>70</v>
      </c>
      <c r="H6" s="43" t="s">
        <v>119</v>
      </c>
      <c r="I6" s="43" t="s">
        <v>78</v>
      </c>
      <c r="J6" s="43" t="s">
        <v>70</v>
      </c>
      <c r="K6" s="43" t="s">
        <v>78</v>
      </c>
      <c r="L6" s="43" t="s">
        <v>65</v>
      </c>
      <c r="M6" s="43" t="s">
        <v>69</v>
      </c>
      <c r="N6" s="43" t="s">
        <v>66</v>
      </c>
      <c r="O6" s="43" t="s">
        <v>67</v>
      </c>
      <c r="P6" s="43" t="s">
        <v>53</v>
      </c>
      <c r="Q6" s="43" t="s">
        <v>59</v>
      </c>
      <c r="R6" s="43" t="s">
        <v>56</v>
      </c>
      <c r="S6"/>
      <c r="T6"/>
      <c r="U6"/>
      <c r="V6"/>
      <c r="W6"/>
      <c r="X6"/>
      <c r="Y6"/>
    </row>
    <row r="7" spans="1:25" s="4" customFormat="1" ht="17.25" thickBot="1" x14ac:dyDescent="0.2">
      <c r="A7" s="41"/>
      <c r="B7" s="27" t="s">
        <v>57</v>
      </c>
      <c r="C7" s="28" t="s">
        <v>25</v>
      </c>
      <c r="D7" s="42" t="s">
        <v>94</v>
      </c>
      <c r="E7" s="42" t="s">
        <v>97</v>
      </c>
      <c r="F7" s="42" t="s">
        <v>89</v>
      </c>
      <c r="G7" s="42" t="s">
        <v>71</v>
      </c>
      <c r="H7" s="42" t="s">
        <v>90</v>
      </c>
      <c r="I7" s="42" t="s">
        <v>92</v>
      </c>
      <c r="J7" s="42" t="s">
        <v>71</v>
      </c>
      <c r="K7" s="42" t="s">
        <v>92</v>
      </c>
      <c r="L7" s="42" t="s">
        <v>54</v>
      </c>
      <c r="M7" s="42" t="s">
        <v>64</v>
      </c>
      <c r="N7" s="42" t="s">
        <v>64</v>
      </c>
      <c r="O7" s="42" t="s">
        <v>62</v>
      </c>
      <c r="P7" s="42" t="s">
        <v>62</v>
      </c>
      <c r="Q7" s="42" t="s">
        <v>54</v>
      </c>
      <c r="R7" s="42" t="s">
        <v>54</v>
      </c>
      <c r="S7" s="41"/>
      <c r="T7" s="41"/>
      <c r="U7" s="41"/>
      <c r="V7" s="41"/>
      <c r="W7" s="41"/>
      <c r="X7" s="41"/>
      <c r="Y7" s="41"/>
    </row>
    <row r="8" spans="1:25" ht="17.25" thickTop="1" x14ac:dyDescent="0.15">
      <c r="A8"/>
      <c r="B8" s="25" t="s">
        <v>58</v>
      </c>
      <c r="C8" s="26" t="s">
        <v>1</v>
      </c>
      <c r="D8" s="15">
        <f>LOOKUP(1,0/((数据源!$A$2:$A$160=D5)*(数据源!$B$2:$B$160=D6)*(数据源!$C$2:$C$160=D7)),数据源!$D$2:$D$160)</f>
        <v>-0.67</v>
      </c>
      <c r="E8" s="15">
        <f>LOOKUP(1,0/((数据源!$A$2:$A$160=E5)*(数据源!$B$2:$B$160=E6)*(数据源!$C$2:$C$160=E7)),数据源!$D$2:$D$160)</f>
        <v>-1.5</v>
      </c>
      <c r="F8" s="15">
        <f>LOOKUP(1,0/((数据源!$A$2:$A$160=F5)*(数据源!$B$2:$B$160=F6)*(数据源!$C$2:$C$160=F7)),数据源!$D$2:$D$160)</f>
        <v>-1.1000000000000001</v>
      </c>
      <c r="G8" s="15">
        <f>LOOKUP(1,0/((数据源!$A$2:$A$160=G5)*(数据源!$B$2:$B$160=G6)*(数据源!$C$2:$C$160=G7)),数据源!$D$2:$D$160)</f>
        <v>15</v>
      </c>
      <c r="H8" s="15">
        <f>LOOKUP(1,0/((数据源!$A$2:$A$160=H5)*(数据源!$B$2:$B$160=H6)*(数据源!$C$2:$C$160=H7)),数据源!$D$2:$D$160)</f>
        <v>56</v>
      </c>
      <c r="I8" s="15">
        <f>LOOKUP(1,0/((数据源!$A$2:$A$160=I5)*(数据源!$B$2:$B$160=I6)*(数据源!$C$2:$C$160=I7)),数据源!$D$2:$D$160)</f>
        <v>56</v>
      </c>
      <c r="J8" s="15">
        <f>LOOKUP(1,0/((数据源!$A$2:$A$160=J5)*(数据源!$B$2:$B$160=J6)*(数据源!$C$2:$C$160=J7)),数据源!$D$2:$D$160)</f>
        <v>15</v>
      </c>
      <c r="K8" s="15">
        <f>LOOKUP(1,0/((数据源!$A$2:$A$160=K5)*(数据源!$B$2:$B$160=K6)*(数据源!$C$2:$C$160=K7)),数据源!$D$2:$D$160)</f>
        <v>56</v>
      </c>
      <c r="L8" s="15">
        <f>LOOKUP(1,0/((数据源!$A$2:$A$160=L5)*(数据源!$B$2:$B$160=L6)*(数据源!$C$2:$C$160=L7)),数据源!$D$2:$D$160)</f>
        <v>-2</v>
      </c>
      <c r="M8" s="15" t="e">
        <f>LOOKUP(1,0/((数据源!$A$2:$A$160=M5)*(数据源!$B$2:$B$160=M6)*(数据源!$C$2:$C$160=M7)),数据源!$D$2:$D$160)</f>
        <v>#N/A</v>
      </c>
      <c r="N8" s="15" t="e">
        <f>LOOKUP(1,0/((数据源!$A$2:$A$160=N5)*(数据源!$B$2:$B$160=N6)*(数据源!$C$2:$C$160=N7)),数据源!$D$2:$D$160)</f>
        <v>#N/A</v>
      </c>
      <c r="O8" s="15" t="e">
        <f>LOOKUP(1,0/((数据源!$A$2:$A$160=O5)*(数据源!$B$2:$B$160=O6)*(数据源!$C$2:$C$160=O7)),数据源!$D$2:$D$160)</f>
        <v>#N/A</v>
      </c>
      <c r="P8" s="15" t="e">
        <f>LOOKUP(1,0/((数据源!$A$2:$A$160=P5)*(数据源!$B$2:$B$160=P6)*(数据源!$C$2:$C$160=P7)),数据源!$D$2:$D$160)</f>
        <v>#N/A</v>
      </c>
      <c r="Q8" s="15">
        <f>LOOKUP(1,0/((数据源!$A$2:$A$160=Q5)*(数据源!$B$2:$B$160=Q6)*(数据源!$C$2:$C$160=Q7)),数据源!$D$2:$D$160)</f>
        <v>-5</v>
      </c>
      <c r="R8" s="15">
        <f>LOOKUP(1,0/((数据源!$A$2:$A$160=R5)*(数据源!$B$2:$B$160=R6)*(数据源!$C$2:$C$160=R7)),数据源!$D$2:$D$160)</f>
        <v>-8</v>
      </c>
      <c r="S8"/>
      <c r="T8"/>
      <c r="U8"/>
      <c r="V8"/>
      <c r="W8"/>
      <c r="X8"/>
      <c r="Y8"/>
    </row>
    <row r="9" spans="1:25" x14ac:dyDescent="0.15">
      <c r="A9"/>
      <c r="B9" s="25" t="s">
        <v>2</v>
      </c>
      <c r="C9" s="26" t="s">
        <v>1</v>
      </c>
      <c r="D9" s="12">
        <f>LOOKUP(1,0/((数据源!$A$2:$A$160=D5)*(数据源!$B$2:$B$160=D6)*(数据源!$C$2:$C$160=D7)),数据源!$E$2:$E$160)</f>
        <v>0.67</v>
      </c>
      <c r="E9" s="12">
        <f>LOOKUP(1,0/((数据源!$A$2:$A$160=E5)*(数据源!$B$2:$B$160=E6)*(数据源!$C$2:$C$160=E7)),数据源!$E$2:$E$160)</f>
        <v>1.5</v>
      </c>
      <c r="F9" s="12">
        <f>LOOKUP(1,0/((数据源!$A$2:$A$160=F5)*(数据源!$B$2:$B$160=F6)*(数据源!$C$2:$C$160=F7)),数据源!$E$2:$E$160)</f>
        <v>1.1000000000000001</v>
      </c>
      <c r="G9" s="12">
        <f>LOOKUP(1,0/((数据源!$A$2:$A$160=G5)*(数据源!$B$2:$B$160=G6)*(数据源!$C$2:$C$160=G7)),数据源!$E$2:$E$160)</f>
        <v>0.7</v>
      </c>
      <c r="H9" s="12">
        <f>LOOKUP(1,0/((数据源!$A$2:$A$160=H5)*(数据源!$B$2:$B$160=H6)*(数据源!$C$2:$C$160=H7)),数据源!$E$2:$E$160)</f>
        <v>3</v>
      </c>
      <c r="I9" s="12">
        <f>LOOKUP(1,0/((数据源!$A$2:$A$160=I5)*(数据源!$B$2:$B$160=I6)*(数据源!$C$2:$C$160=I7)),数据源!$E$2:$E$160)</f>
        <v>2.7</v>
      </c>
      <c r="J9" s="12">
        <f>LOOKUP(1,0/((数据源!$A$2:$A$160=J5)*(数据源!$B$2:$B$160=J6)*(数据源!$C$2:$C$160=J7)),数据源!$E$2:$E$160)</f>
        <v>0.7</v>
      </c>
      <c r="K9" s="12">
        <f>LOOKUP(1,0/((数据源!$A$2:$A$160=K5)*(数据源!$B$2:$B$160=K6)*(数据源!$C$2:$C$160=K7)),数据源!$E$2:$E$160)</f>
        <v>2.7</v>
      </c>
      <c r="L9" s="12">
        <f>LOOKUP(1,0/((数据源!$A$2:$A$160=L5)*(数据源!$B$2:$B$160=L6)*(数据源!$C$2:$C$160=L7)),数据源!$E$2:$E$160)</f>
        <v>2</v>
      </c>
      <c r="M9" s="12" t="e">
        <f>LOOKUP(1,0/((数据源!$A$2:$A$160=M5)*(数据源!$B$2:$B$160=M6)*(数据源!$C$2:$C$160=M7)),数据源!$E$2:$E$160)</f>
        <v>#N/A</v>
      </c>
      <c r="N9" s="12" t="e">
        <f>LOOKUP(1,0/((数据源!$A$2:$A$160=N5)*(数据源!$B$2:$B$160=N6)*(数据源!$C$2:$C$160=N7)),数据源!$E$2:$E$160)</f>
        <v>#N/A</v>
      </c>
      <c r="O9" s="12" t="e">
        <f>LOOKUP(1,0/((数据源!$A$2:$A$160=O5)*(数据源!$B$2:$B$160=O6)*(数据源!$C$2:$C$160=O7)),数据源!$E$2:$E$160)</f>
        <v>#N/A</v>
      </c>
      <c r="P9" s="12" t="e">
        <f>LOOKUP(1,0/((数据源!$A$2:$A$160=P5)*(数据源!$B$2:$B$160=P6)*(数据源!$C$2:$C$160=P7)),数据源!$E$2:$E$160)</f>
        <v>#N/A</v>
      </c>
      <c r="Q9" s="12">
        <f>LOOKUP(1,0/((数据源!$A$2:$A$160=Q5)*(数据源!$B$2:$B$160=Q6)*(数据源!$C$2:$C$160=Q7)),数据源!$E$2:$E$160)</f>
        <v>5</v>
      </c>
      <c r="R9" s="12">
        <f>LOOKUP(1,0/((数据源!$A$2:$A$160=R5)*(数据源!$B$2:$B$160=R6)*(数据源!$C$2:$C$160=R7)),数据源!$E$2:$E$160)</f>
        <v>8</v>
      </c>
      <c r="S9"/>
      <c r="T9"/>
      <c r="U9"/>
      <c r="V9"/>
      <c r="W9"/>
      <c r="X9"/>
      <c r="Y9"/>
    </row>
    <row r="10" spans="1:25" x14ac:dyDescent="0.15">
      <c r="A10"/>
      <c r="B10" s="25" t="s">
        <v>55</v>
      </c>
      <c r="C10" s="26" t="s">
        <v>3</v>
      </c>
      <c r="D10" s="12">
        <f>LOOKUP(1,0/((数据源!$A$2:$A$160=D5)*(数据源!$B$2:$B$160=D6)*(数据源!$C$2:$C$160=D7)),数据源!$F$2:$F$160)</f>
        <v>60</v>
      </c>
      <c r="E10" s="12">
        <f>LOOKUP(1,0/((数据源!$A$2:$A$160=E5)*(数据源!$B$2:$B$160=E6)*(数据源!$C$2:$C$160=E7)),数据源!$F$2:$F$160)</f>
        <v>60</v>
      </c>
      <c r="F10" s="12">
        <f>LOOKUP(1,0/((数据源!$A$2:$A$160=F5)*(数据源!$B$2:$B$160=F6)*(数据源!$C$2:$C$160=F7)),数据源!$F$2:$F$160)</f>
        <v>60</v>
      </c>
      <c r="G10" s="12">
        <f>LOOKUP(1,0/((数据源!$A$2:$A$160=G5)*(数据源!$B$2:$B$160=G6)*(数据源!$C$2:$C$160=G7)),数据源!$F$2:$F$160)</f>
        <v>15</v>
      </c>
      <c r="H10" s="12">
        <f>LOOKUP(1,0/((数据源!$A$2:$A$160=H5)*(数据源!$B$2:$B$160=H6)*(数据源!$C$2:$C$160=H7)),数据源!$F$2:$F$160)</f>
        <v>60</v>
      </c>
      <c r="I10" s="12">
        <f>LOOKUP(1,0/((数据源!$A$2:$A$160=I5)*(数据源!$B$2:$B$160=I6)*(数据源!$C$2:$C$160=I7)),数据源!$F$2:$F$160)</f>
        <v>60</v>
      </c>
      <c r="J10" s="12">
        <f>LOOKUP(1,0/((数据源!$A$2:$A$160=J5)*(数据源!$B$2:$B$160=J6)*(数据源!$C$2:$C$160=J7)),数据源!$F$2:$F$160)</f>
        <v>15</v>
      </c>
      <c r="K10" s="12">
        <f>LOOKUP(1,0/((数据源!$A$2:$A$160=K5)*(数据源!$B$2:$B$160=K6)*(数据源!$C$2:$C$160=K7)),数据源!$F$2:$F$160)</f>
        <v>60</v>
      </c>
      <c r="L10" s="12">
        <f>LOOKUP(1,0/((数据源!$A$2:$A$160=L5)*(数据源!$B$2:$B$160=L6)*(数据源!$C$2:$C$160=L7)),数据源!$F$2:$F$160)</f>
        <v>1000</v>
      </c>
      <c r="M10" s="12" t="e">
        <f>LOOKUP(1,0/((数据源!$A$2:$A$160=M5)*(数据源!$B$2:$B$160=M6)*(数据源!$C$2:$C$160=M7)),数据源!$F$2:$F$160)</f>
        <v>#N/A</v>
      </c>
      <c r="N10" s="12" t="e">
        <f>LOOKUP(1,0/((数据源!$A$2:$A$160=N5)*(数据源!$B$2:$B$160=N6)*(数据源!$C$2:$C$160=N7)),数据源!$F$2:$F$160)</f>
        <v>#N/A</v>
      </c>
      <c r="O10" s="12" t="e">
        <f>LOOKUP(1,0/((数据源!$A$2:$A$160=O5)*(数据源!$B$2:$B$160=O6)*(数据源!$C$2:$C$160=O7)),数据源!$F$2:$F$160)</f>
        <v>#N/A</v>
      </c>
      <c r="P10" s="12" t="e">
        <f>LOOKUP(1,0/((数据源!$A$2:$A$160=P5)*(数据源!$B$2:$B$160=P6)*(数据源!$C$2:$C$160=P7)),数据源!$F$2:$F$160)</f>
        <v>#N/A</v>
      </c>
      <c r="Q10" s="12">
        <f>LOOKUP(1,0/((数据源!$A$2:$A$160=Q5)*(数据源!$B$2:$B$160=Q6)*(数据源!$C$2:$C$160=Q7)),数据源!$F$2:$F$160)</f>
        <v>1000</v>
      </c>
      <c r="R10" s="12">
        <f>LOOKUP(1,0/((数据源!$A$2:$A$160=R5)*(数据源!$B$2:$B$160=R6)*(数据源!$C$2:$C$160=R7)),数据源!$F$2:$F$160)</f>
        <v>1000</v>
      </c>
      <c r="S10"/>
      <c r="T10"/>
      <c r="U10"/>
      <c r="V10"/>
      <c r="W10"/>
      <c r="X10"/>
      <c r="Y10"/>
    </row>
    <row r="11" spans="1:25" ht="17.25" thickBot="1" x14ac:dyDescent="0.2">
      <c r="A11" s="6"/>
      <c r="B11" s="29" t="s">
        <v>4</v>
      </c>
      <c r="C11" s="30" t="s">
        <v>3</v>
      </c>
      <c r="D11" s="13">
        <f>LOOKUP(1,0/((数据源!$A$2:$A$160=D5)*(数据源!$B$2:$B$160=D6)*(数据源!$C$2:$C$160=D7)),数据源!$G$2:$G$160)</f>
        <v>60</v>
      </c>
      <c r="E11" s="13">
        <f>LOOKUP(1,0/((数据源!$A$2:$A$160=E5)*(数据源!$B$2:$B$160=E6)*(数据源!$C$2:$C$160=E7)),数据源!$G$2:$G$160)</f>
        <v>60</v>
      </c>
      <c r="F11" s="13">
        <f>LOOKUP(1,0/((数据源!$A$2:$A$160=F5)*(数据源!$B$2:$B$160=F6)*(数据源!$C$2:$C$160=F7)),数据源!$G$2:$G$160)</f>
        <v>60</v>
      </c>
      <c r="G11" s="13">
        <f>LOOKUP(1,0/((数据源!$A$2:$A$160=G5)*(数据源!$B$2:$B$160=G6)*(数据源!$C$2:$C$160=G7)),数据源!$G$2:$G$160)</f>
        <v>16</v>
      </c>
      <c r="H11" s="13">
        <f>LOOKUP(1,0/((数据源!$A$2:$A$160=H5)*(数据源!$B$2:$B$160=H6)*(数据源!$C$2:$C$160=H7)),数据源!$G$2:$G$160)</f>
        <v>60</v>
      </c>
      <c r="I11" s="13">
        <f>LOOKUP(1,0/((数据源!$A$2:$A$160=I5)*(数据源!$B$2:$B$160=I6)*(数据源!$C$2:$C$160=I7)),数据源!$G$2:$G$160)</f>
        <v>60</v>
      </c>
      <c r="J11" s="13">
        <f>LOOKUP(1,0/((数据源!$A$2:$A$160=J5)*(数据源!$B$2:$B$160=J6)*(数据源!$C$2:$C$160=J7)),数据源!$G$2:$G$160)</f>
        <v>16</v>
      </c>
      <c r="K11" s="13">
        <f>LOOKUP(1,0/((数据源!$A$2:$A$160=K5)*(数据源!$B$2:$B$160=K6)*(数据源!$C$2:$C$160=K7)),数据源!$G$2:$G$160)</f>
        <v>60</v>
      </c>
      <c r="L11" s="13">
        <f>LOOKUP(1,0/((数据源!$A$2:$A$160=L5)*(数据源!$B$2:$B$160=L6)*(数据源!$C$2:$C$160=L7)),数据源!$G$2:$G$160)</f>
        <v>1000</v>
      </c>
      <c r="M11" s="13" t="e">
        <f>LOOKUP(1,0/((数据源!$A$2:$A$160=M5)*(数据源!$B$2:$B$160=M6)*(数据源!$C$2:$C$160=M7)),数据源!$G$2:$G$160)</f>
        <v>#N/A</v>
      </c>
      <c r="N11" s="13" t="e">
        <f>LOOKUP(1,0/((数据源!$A$2:$A$160=N5)*(数据源!$B$2:$B$160=N6)*(数据源!$C$2:$C$160=N7)),数据源!$G$2:$G$160)</f>
        <v>#N/A</v>
      </c>
      <c r="O11" s="13" t="e">
        <f>LOOKUP(1,0/((数据源!$A$2:$A$160=O5)*(数据源!$B$2:$B$160=O6)*(数据源!$C$2:$C$160=O7)),数据源!$G$2:$G$160)</f>
        <v>#N/A</v>
      </c>
      <c r="P11" s="13" t="e">
        <f>LOOKUP(1,0/((数据源!$A$2:$A$160=P5)*(数据源!$B$2:$B$160=P6)*(数据源!$C$2:$C$160=P7)),数据源!$G$2:$G$160)</f>
        <v>#N/A</v>
      </c>
      <c r="Q11" s="13">
        <f>LOOKUP(1,0/((数据源!$A$2:$A$160=Q5)*(数据源!$B$2:$B$160=Q6)*(数据源!$C$2:$C$160=Q7)),数据源!$G$2:$G$160)</f>
        <v>1000</v>
      </c>
      <c r="R11" s="13">
        <f>LOOKUP(1,0/((数据源!$A$2:$A$160=R5)*(数据源!$B$2:$B$160=R6)*(数据源!$C$2:$C$160=R7)),数据源!$G$2:$G$160)</f>
        <v>1000</v>
      </c>
      <c r="S11"/>
      <c r="T11"/>
      <c r="U11"/>
      <c r="V11"/>
      <c r="W11"/>
      <c r="X11"/>
      <c r="Y11"/>
    </row>
    <row r="12" spans="1:25" ht="17.25" thickTop="1" x14ac:dyDescent="0.15">
      <c r="A12" s="48">
        <f>M23</f>
        <v>-101.229767587376</v>
      </c>
      <c r="B12" s="31" t="s">
        <v>5</v>
      </c>
      <c r="C12" s="32" t="s">
        <v>1</v>
      </c>
      <c r="D12" s="14">
        <f>IF(AND(D4&lt;&gt;FALSE,D8&lt;&gt;""),D8,"")</f>
        <v>-0.67</v>
      </c>
      <c r="E12" s="11">
        <f>IF(OR($D$4:E$4)=FALSE,"",IF(E$4=FALSE,D12,IF(OR($D$4:D4)=FALSE,E8,E8+D12)))</f>
        <v>-2.17</v>
      </c>
      <c r="F12" s="11">
        <f>IF(OR($D$4:F$4)=FALSE,"",IF(F$4=FALSE,E12,IF(OR($D$4:E4)=FALSE,F8,F8+E12)))</f>
        <v>-3.27</v>
      </c>
      <c r="G12" s="11">
        <f>IF(OR($D$4:G$4)=FALSE,"",IF(G$4=FALSE,F12,IF(OR($D$4:F4)=FALSE,G8,G8+F12)))</f>
        <v>11.73</v>
      </c>
      <c r="H12" s="11">
        <f>IF(OR($D$4:H$4)=FALSE,"",IF(H$4=FALSE,G12,IF(OR($D$4:G4)=FALSE,H8,H8+G12)))</f>
        <v>67.73</v>
      </c>
      <c r="I12" s="11">
        <f>IF(OR($D$4:I$4)=FALSE,"",IF(I$4=FALSE,H12,IF(OR($D$4:H4)=FALSE,I8,I8+H12)))</f>
        <v>67.73</v>
      </c>
      <c r="J12" s="11">
        <f>IF(OR($D$4:J$4)=FALSE,"",IF(J$4=FALSE,I12,IF(OR($D$4:I4)=FALSE,J8,J8+I12)))</f>
        <v>67.73</v>
      </c>
      <c r="K12" s="11">
        <f>IF(OR($D$4:K$4)=FALSE,"",IF(K$4=FALSE,J12,IF(OR($D$4:J4)=FALSE,K8,K8+J12)))</f>
        <v>67.73</v>
      </c>
      <c r="L12" s="11">
        <f>IF(OR($D$4:L$4)=FALSE,"",IF(L$4=FALSE,K12,IF(OR($D$4:K4)=FALSE,L8,L8+K12)))</f>
        <v>67.73</v>
      </c>
      <c r="M12" s="11">
        <f>IF(OR($D$4:M$4)=FALSE,"",IF(M$4=FALSE,L12,IF(OR($D$4:L4)=FALSE,M8,M8+L12)))</f>
        <v>67.73</v>
      </c>
      <c r="N12" s="11">
        <f>IF(OR($D$4:N$4)=FALSE,"",IF(N$4=FALSE,M12,IF(OR($D$4:M4)=FALSE,N8,N8+M12)))</f>
        <v>67.73</v>
      </c>
      <c r="O12" s="11">
        <f>IF(OR($D$4:O$4)=FALSE,"",IF(O$4=FALSE,N12,IF(OR($D$4:N4)=FALSE,O8,O8+N12)))</f>
        <v>67.73</v>
      </c>
      <c r="P12" s="11">
        <f>IF(OR($D$4:P$4)=FALSE,"",IF(P$4=FALSE,O12,IF(OR($D$4:O4)=FALSE,P8,P8+O12)))</f>
        <v>67.73</v>
      </c>
      <c r="Q12" s="11">
        <f>IF(OR($D$4:Q$4)=FALSE,"",IF(Q$4=FALSE,P12,IF(OR($D$4:P4)=FALSE,Q8,Q8+P12)))</f>
        <v>67.73</v>
      </c>
      <c r="R12" s="11">
        <f>IF(OR($D$4:R$4)=FALSE,"",IF(R$4=FALSE,Q12,IF(OR($D$4:Q4)=FALSE,R8,R8+Q12)))</f>
        <v>67.73</v>
      </c>
      <c r="S12"/>
      <c r="T12"/>
      <c r="U12"/>
      <c r="V12"/>
      <c r="W12"/>
      <c r="X12"/>
      <c r="Y12"/>
    </row>
    <row r="13" spans="1:25" x14ac:dyDescent="0.15">
      <c r="A13" s="6"/>
      <c r="B13" s="33" t="s">
        <v>6</v>
      </c>
      <c r="C13" s="34" t="s">
        <v>1</v>
      </c>
      <c r="D13" s="12">
        <f>IF(AND(D4&lt;&gt;FALSE,D9&lt;&gt;""),D9,"")</f>
        <v>0.67</v>
      </c>
      <c r="E13" s="10">
        <f>IF(OR($D$4:E$4)=FALSE,"",IF(E$4=FALSE,D13,IF(OR($D$4:D$4)=FALSE,E9,10*LOG(10^(D13/10)+(10^(E9/10)-1)/10^(D12/10)))))</f>
        <v>2.1700000000000004</v>
      </c>
      <c r="F13" s="10">
        <f>IF(OR($D$4:F$4)=FALSE,"",IF(F$4=FALSE,E13,IF(OR($D$4:E$4)=FALSE,F9,10*LOG(10^(E13/10)+(10^(F9/10)-1)/10^(E12/10)))))</f>
        <v>3.2700000000000014</v>
      </c>
      <c r="G13" s="10">
        <f>IF(OR($D$4:G$4)=FALSE,"",IF(G$4=FALSE,F13,IF(OR($D$4:F$4)=FALSE,G9,10*LOG(10^(F13/10)+(10^(G9/10)-1)/10^(F12/10)))))</f>
        <v>3.970000000000002</v>
      </c>
      <c r="H13" s="10">
        <f>IF(OR($D$4:H$4)=FALSE,"",IF(H$4=FALSE,G13,IF(OR($D$4:G$4)=FALSE,H9,10*LOG(10^(G13/10)+(10^(H9/10)-1)/10^(G12/10)))))</f>
        <v>4.0848071323152304</v>
      </c>
      <c r="I13" s="10">
        <f>IF(OR($D$4:I$4)=FALSE,"",IF(I$4=FALSE,H13,IF(OR($D$4:H$4)=FALSE,I9,10*LOG(10^(H13/10)+(10^(I9/10)-1)/10^(H12/10)))))</f>
        <v>4.0848071323152304</v>
      </c>
      <c r="J13" s="10">
        <f>IF(OR($D$4:J$4)=FALSE,"",IF(J$4=FALSE,I13,IF(OR($D$4:I$4)=FALSE,J9,10*LOG(10^(I13/10)+(10^(J9/10)-1)/10^(I12/10)))))</f>
        <v>4.0848071323152304</v>
      </c>
      <c r="K13" s="10">
        <f>IF(OR($D$4:K$4)=FALSE,"",IF(K$4=FALSE,J13,IF(OR($D$4:J$4)=FALSE,K9,10*LOG(10^(J13/10)+(10^(K9/10)-1)/10^(J12/10)))))</f>
        <v>4.0848071323152304</v>
      </c>
      <c r="L13" s="10">
        <f>IF(OR($D$4:L$4)=FALSE,"",IF(L$4=FALSE,K13,IF(OR($D$4:K$4)=FALSE,L9,10*LOG(10^(K13/10)+(10^(L9/10)-1)/10^(K12/10)))))</f>
        <v>4.0848071323152304</v>
      </c>
      <c r="M13" s="10">
        <f>IF(OR($D$4:M$4)=FALSE,"",IF(M$4=FALSE,L13,IF(OR($D$4:L$4)=FALSE,M9,10*LOG(10^(L13/10)+(10^(M9/10)-1)/10^(L12/10)))))</f>
        <v>4.0848071323152304</v>
      </c>
      <c r="N13" s="10">
        <f>IF(OR($D$4:N$4)=FALSE,"",IF(N$4=FALSE,M13,IF(OR($D$4:M$4)=FALSE,N9,10*LOG(10^(M13/10)+(10^(N9/10)-1)/10^(M12/10)))))</f>
        <v>4.0848071323152304</v>
      </c>
      <c r="O13" s="10">
        <f>IF(OR($D$4:O$4)=FALSE,"",IF(O$4=FALSE,N13,IF(OR($D$4:N$4)=FALSE,O9,10*LOG(10^(N13/10)+(10^(O9/10)-1)/10^(N12/10)))))</f>
        <v>4.0848071323152304</v>
      </c>
      <c r="P13" s="10">
        <f>IF(OR($D$4:P$4)=FALSE,"",IF(P$4=FALSE,O13,IF(OR($D$4:O$4)=FALSE,P9,10*LOG(10^(O13/10)+(10^(P9/10)-1)/10^(O12/10)))))</f>
        <v>4.0848071323152304</v>
      </c>
      <c r="Q13" s="10">
        <f>IF(OR($D$4:Q$4)=FALSE,"",IF(Q$4=FALSE,P13,IF(OR($D$4:P$4)=FALSE,Q9,10*LOG(10^(P13/10)+(10^(Q9/10)-1)/10^(P12/10)))))</f>
        <v>4.0848071323152304</v>
      </c>
      <c r="R13" s="10">
        <f>IF(OR($D$4:R$4)=FALSE,"",IF(R$4=FALSE,Q13,IF(OR($D$4:Q$4)=FALSE,R9,10*LOG(10^(Q13/10)+(10^(R9/10)-1)/10^(Q12/10)))))</f>
        <v>4.0848071323152304</v>
      </c>
      <c r="S13" s="6"/>
      <c r="T13" s="6"/>
      <c r="U13" s="6"/>
      <c r="V13" s="6"/>
    </row>
    <row r="14" spans="1:25" x14ac:dyDescent="0.15">
      <c r="A14" s="6"/>
      <c r="B14" s="33" t="s">
        <v>7</v>
      </c>
      <c r="C14" s="34" t="s">
        <v>3</v>
      </c>
      <c r="D14" s="12">
        <f>IF(AND(D4&lt;&gt;FALSE,D10&lt;&gt;""),D10,"")</f>
        <v>60</v>
      </c>
      <c r="E14" s="10">
        <f>IF(OR($D$4:E$4)=FALSE,"",IF(E$4=FALSE,D14,IF(OR($D$4:D$4)=FALSE,E10,10*LOG(1/(1/10^(E10/10)+1/(10^(D14/10)*10^(E8/10)))))))</f>
        <v>56.175259193124134</v>
      </c>
      <c r="F14" s="10">
        <f>IF(OR($D$4:F$4)=FALSE,"",IF(F$4=FALSE,E14,IF(OR($D$4:E$4)=FALSE,F10,10*LOG(1/(1/10^(F10/10)+1/(10^(E14/10)*10^(F8/10)))))))</f>
        <v>53.863748076895853</v>
      </c>
      <c r="G14" s="10">
        <f>IF(OR($D$4:G$4)=FALSE,"",IF(G$4=FALSE,F14,IF(OR($D$4:F$4)=FALSE,G10,10*LOG(1/(1/10^(G10/10)+1/(10^(F14/10)*10^(G8/10)))))))</f>
        <v>14.999982159434694</v>
      </c>
      <c r="H14" s="10">
        <f>IF(OR($D$4:H$4)=FALSE,"",IF(H$4=FALSE,G14,IF(OR($D$4:G$4)=FALSE,H10,10*LOG(1/(1/10^(H10/10)+1/(10^(G14/10)*10^(H8/10)))))))</f>
        <v>59.668042487269624</v>
      </c>
      <c r="I14" s="10">
        <f>IF(OR($D$4:I$4)=FALSE,"",IF(I$4=FALSE,H14,IF(OR($D$4:H$4)=FALSE,I10,10*LOG(1/(1/10^(I10/10)+1/(10^(H14/10)*10^(I8/10)))))))</f>
        <v>59.668042487269624</v>
      </c>
      <c r="J14" s="10">
        <f>IF(OR($D$4:J$4)=FALSE,"",IF(J$4=FALSE,I14,IF(OR($D$4:I$4)=FALSE,J10,10*LOG(1/(1/10^(J10/10)+1/(10^(I14/10)*10^(J8/10)))))))</f>
        <v>59.668042487269624</v>
      </c>
      <c r="K14" s="10">
        <f>IF(OR($D$4:K$4)=FALSE,"",IF(K$4=FALSE,J14,IF(OR($D$4:J$4)=FALSE,K10,10*LOG(1/(1/10^(K10/10)+1/(10^(J14/10)*10^(K8/10)))))))</f>
        <v>59.668042487269624</v>
      </c>
      <c r="L14" s="10">
        <f>IF(OR($D$4:L$4)=FALSE,"",IF(L$4=FALSE,K14,IF(OR($D$4:K$4)=FALSE,L10,10*LOG(1/(1/10^(L10/10)+1/(10^(K14/10)*10^(L8/10)))))))</f>
        <v>59.668042487269624</v>
      </c>
      <c r="M14" s="10">
        <f>IF(OR($D$4:M$4)=FALSE,"",IF(M$4=FALSE,L14,IF(OR($D$4:L$4)=FALSE,M10,10*LOG(1/(1/10^(M10/10)+1/(10^(L14/10)*10^(M8/10)))))))</f>
        <v>59.668042487269624</v>
      </c>
      <c r="N14" s="10">
        <f>IF(OR($D$4:N$4)=FALSE,"",IF(N$4=FALSE,M14,IF(OR($D$4:M$4)=FALSE,N10,10*LOG(1/(1/10^(N10/10)+1/(10^(M14/10)*10^(N8/10)))))))</f>
        <v>59.668042487269624</v>
      </c>
      <c r="O14" s="10">
        <f>IF(OR($D$4:O$4)=FALSE,"",IF(O$4=FALSE,N14,IF(OR($D$4:N$4)=FALSE,O10,10*LOG(1/(1/10^(O10/10)+1/(10^(N14/10)*10^(O8/10)))))))</f>
        <v>59.668042487269624</v>
      </c>
      <c r="P14" s="10">
        <f>IF(OR($D$4:P$4)=FALSE,"",IF(P$4=FALSE,O14,IF(OR($D$4:O$4)=FALSE,P10,10*LOG(1/(1/10^(P10/10)+1/(10^(O14/10)*10^(P8/10)))))))</f>
        <v>59.668042487269624</v>
      </c>
      <c r="Q14" s="10">
        <f>IF(OR($D$4:Q$4)=FALSE,"",IF(Q$4=FALSE,P14,IF(OR($D$4:P$4)=FALSE,Q10,10*LOG(1/(1/10^(Q10/10)+1/(10^(P14/10)*10^(Q8/10)))))))</f>
        <v>59.668042487269624</v>
      </c>
      <c r="R14" s="10">
        <f>IF(OR($D$4:R$4)=FALSE,"",IF(R$4=FALSE,Q14,IF(OR($D$4:Q$4)=FALSE,R10,10*LOG(1/(1/10^(R10/10)+1/(10^(Q14/10)*10^(R8/10)))))))</f>
        <v>59.668042487269624</v>
      </c>
      <c r="S14" s="6"/>
      <c r="T14" s="6"/>
      <c r="U14" s="6"/>
      <c r="V14" s="6"/>
    </row>
    <row r="15" spans="1:25" ht="17.25" thickBot="1" x14ac:dyDescent="0.2">
      <c r="A15" s="6"/>
      <c r="B15" s="35" t="s">
        <v>36</v>
      </c>
      <c r="C15" s="36" t="s">
        <v>3</v>
      </c>
      <c r="D15" s="22">
        <f>IF(AND(D4&lt;&gt;FALSE,D11&lt;&gt;""),D11,"")</f>
        <v>60</v>
      </c>
      <c r="E15" s="16">
        <f>IF(OR($D$4:E$4)=FALSE,"",IF(E$4=FALSE,D15,IF(OR($D$4:D$4)=FALSE,E11,10*LOG(1/(1/10^(E11/10)+1/(10^(D15/10)*10^(E8/10)))))))</f>
        <v>56.175259193124134</v>
      </c>
      <c r="F15" s="16">
        <f>IF(OR($D$4:F$4)=FALSE,"",IF(F$4=FALSE,E15,IF(OR($D$4:E$4)=FALSE,F11,10*LOG(1/(1/10^(F11/10)+1/(10^(E15/10)*10^(F8/10)))))))</f>
        <v>53.863748076895853</v>
      </c>
      <c r="G15" s="16">
        <f>IF(OR($D$4:G$4)=FALSE,"",IF(G$4=FALSE,F15,IF(OR($D$4:F$4)=FALSE,G11,10*LOG(1/(1/10^(G11/10)+1/(10^(F15/10)*10^(G8/10)))))))</f>
        <v>15.999977540070923</v>
      </c>
      <c r="H15" s="16">
        <f>IF(OR($D$4:H$4)=FALSE,"",IF(H$4=FALSE,G15,IF(OR($D$4:G$4)=FALSE,H11,10*LOG(1/(1/10^(H11/10)+1/(10^(G15/10)*10^(H8/10)))))))</f>
        <v>59.734274911017764</v>
      </c>
      <c r="I15" s="16">
        <f>IF(OR($D$4:I$4)=FALSE,"",IF(I$4=FALSE,H15,IF(OR($D$4:H$4)=FALSE,I11,10*LOG(1/(1/10^(I11/10)+1/(10^(H15/10)*10^(I8/10)))))))</f>
        <v>59.734274911017764</v>
      </c>
      <c r="J15" s="16">
        <f>IF(OR($D$4:J$4)=FALSE,"",IF(J$4=FALSE,I15,IF(OR($D$4:I$4)=FALSE,J11,10*LOG(1/(1/10^(J11/10)+1/(10^(I15/10)*10^(J8/10)))))))</f>
        <v>59.734274911017764</v>
      </c>
      <c r="K15" s="16">
        <f>IF(OR($D$4:K$4)=FALSE,"",IF(K$4=FALSE,J15,IF(OR($D$4:J$4)=FALSE,K11,10*LOG(1/(1/10^(K11/10)+1/(10^(J15/10)*10^(K8/10)))))))</f>
        <v>59.734274911017764</v>
      </c>
      <c r="L15" s="16">
        <f>IF(OR($D$4:L$4)=FALSE,"",IF(L$4=FALSE,K15,IF(OR($D$4:K$4)=FALSE,L11,10*LOG(1/(1/10^(L11/10)+1/(10^(K15/10)*10^(L8/10)))))))</f>
        <v>59.734274911017764</v>
      </c>
      <c r="M15" s="16">
        <f>IF(OR($D$4:M$4)=FALSE,"",IF(M$4=FALSE,L15,IF(OR($D$4:L$4)=FALSE,M11,10*LOG(1/(1/10^(M11/10)+1/(10^(L15/10)*10^(M8/10)))))))</f>
        <v>59.734274911017764</v>
      </c>
      <c r="N15" s="16">
        <f>IF(OR($D$4:N$4)=FALSE,"",IF(N$4=FALSE,M15,IF(OR($D$4:M$4)=FALSE,N11,10*LOG(1/(1/10^(N11/10)+1/(10^(M15/10)*10^(N8/10)))))))</f>
        <v>59.734274911017764</v>
      </c>
      <c r="O15" s="16">
        <f>IF(OR($D$4:O$4)=FALSE,"",IF(O$4=FALSE,N15,IF(OR($D$4:N$4)=FALSE,O11,10*LOG(1/(1/10^(O11/10)+1/(10^(N15/10)*10^(O8/10)))))))</f>
        <v>59.734274911017764</v>
      </c>
      <c r="P15" s="16">
        <f>IF(OR($D$4:P$4)=FALSE,"",IF(P$4=FALSE,O15,IF(OR($D$4:O$4)=FALSE,P11,10*LOG(1/(1/10^(P11/10)+1/(10^(O15/10)*10^(P8/10)))))))</f>
        <v>59.734274911017764</v>
      </c>
      <c r="Q15" s="16">
        <f>IF(OR($D$4:Q$4)=FALSE,"",IF(Q$4=FALSE,P15,IF(OR($D$4:P$4)=FALSE,Q11,10*LOG(1/(1/10^(Q11/10)+1/(10^(P15/10)*10^(Q8/10)))))))</f>
        <v>59.734274911017764</v>
      </c>
      <c r="R15" s="16">
        <f>IF(OR($D$4:R$4)=FALSE,"",IF(R$4=FALSE,Q15,IF(OR($D$4:Q$4)=FALSE,R11,10*LOG(1/(1/10^(R11/10)+1/(10^(Q15/10)*10^(R8/10)))))))</f>
        <v>59.734274911017764</v>
      </c>
      <c r="S15" s="6"/>
      <c r="T15" s="6"/>
      <c r="U15" s="6"/>
      <c r="V15" s="6"/>
    </row>
    <row r="16" spans="1:25" ht="17.25" thickTop="1" x14ac:dyDescent="0.15">
      <c r="A16" s="6"/>
      <c r="B16" s="37" t="s">
        <v>37</v>
      </c>
      <c r="C16" s="38" t="s">
        <v>3</v>
      </c>
      <c r="D16" s="14">
        <f>IF(AND(D4&lt;&gt;FALSE,G23&lt;&gt;""),G23,"")</f>
        <v>-50</v>
      </c>
      <c r="E16" s="11">
        <f>IF(OR($D$4:E$4)=FALSE,"",IF(E$4=FALSE,D16,IF(OR($D$4:D$4)=FALSE,$G$23,D17)))</f>
        <v>-50.67</v>
      </c>
      <c r="F16" s="11">
        <f>IF(OR($D$4:F$4)=FALSE,"",IF(F$4=FALSE,E16,IF(OR($D$4:E$4)=FALSE,$G$23,E17)))</f>
        <v>-52.17</v>
      </c>
      <c r="G16" s="11">
        <f>IF(OR($D$4:G$4)=FALSE,"",IF(G$4=FALSE,F16,IF(OR($D$4:F$4)=FALSE,$G$23,F17)))</f>
        <v>-53.27</v>
      </c>
      <c r="H16" s="11">
        <f>IF(OR($D$4:H$4)=FALSE,"",IF(H$4=FALSE,G16,IF(OR($D$4:G$4)=FALSE,$G$23,G17)))</f>
        <v>-38.270000000000003</v>
      </c>
      <c r="I16" s="11">
        <f>IF(OR($D$4:I$4)=FALSE,"",IF(I$4=FALSE,H16,IF(OR($D$4:H$4)=FALSE,$G$23,H17)))</f>
        <v>-38.270000000000003</v>
      </c>
      <c r="J16" s="11">
        <f>IF(OR($D$4:J$4)=FALSE,"",IF(J$4=FALSE,I16,IF(OR($D$4:I$4)=FALSE,$G$23,I17)))</f>
        <v>-38.270000000000003</v>
      </c>
      <c r="K16" s="11">
        <f>IF(OR($D$4:K$4)=FALSE,"",IF(K$4=FALSE,J16,IF(OR($D$4:J$4)=FALSE,$G$23,J17)))</f>
        <v>-38.270000000000003</v>
      </c>
      <c r="L16" s="11">
        <f>IF(OR($D$4:L$4)=FALSE,"",IF(L$4=FALSE,K16,IF(OR($D$4:K$4)=FALSE,$G$23,K17)))</f>
        <v>-38.270000000000003</v>
      </c>
      <c r="M16" s="11">
        <f>IF(OR($D$4:M$4)=FALSE,"",IF(M$4=FALSE,L16,IF(OR($D$4:L$4)=FALSE,$G$23,L17)))</f>
        <v>-38.270000000000003</v>
      </c>
      <c r="N16" s="11">
        <f>IF(OR($D$4:N$4)=FALSE,"",IF(N$4=FALSE,M16,IF(OR($D$4:M$4)=FALSE,$G$23,M17)))</f>
        <v>-38.270000000000003</v>
      </c>
      <c r="O16" s="11">
        <f>IF(OR($D$4:O$4)=FALSE,"",IF(O$4=FALSE,N16,IF(OR($D$4:N$4)=FALSE,$G$23,N17)))</f>
        <v>-38.270000000000003</v>
      </c>
      <c r="P16" s="11">
        <f>IF(OR($D$4:P$4)=FALSE,"",IF(P$4=FALSE,O16,IF(OR($D$4:O$4)=FALSE,$G$23,O17)))</f>
        <v>-38.270000000000003</v>
      </c>
      <c r="Q16" s="11">
        <f>IF(OR($D$4:Q$4)=FALSE,"",IF(Q$4=FALSE,P16,IF(OR($D$4:P$4)=FALSE,$G$23,P17)))</f>
        <v>-38.270000000000003</v>
      </c>
      <c r="R16" s="11">
        <f>IF(OR($D$4:R$4)=FALSE,"",IF(R$4=FALSE,Q16,IF(OR($D$4:Q$4)=FALSE,$G$23,Q17)))</f>
        <v>-38.270000000000003</v>
      </c>
      <c r="S16" s="6"/>
      <c r="T16" s="6"/>
      <c r="U16" s="6"/>
      <c r="V16" s="6"/>
    </row>
    <row r="17" spans="1:22" x14ac:dyDescent="0.15">
      <c r="A17" s="6"/>
      <c r="B17" s="25" t="s">
        <v>8</v>
      </c>
      <c r="C17" s="26" t="s">
        <v>3</v>
      </c>
      <c r="D17" s="12">
        <f>IF(AND(D4&lt;&gt;FALSE,D8&lt;&gt;"",D16&lt;&gt;""),D16+D8,"")</f>
        <v>-50.67</v>
      </c>
      <c r="E17" s="10">
        <f>IF(AND(E4&lt;&gt;FALSE,E16&lt;&gt;"",E16&lt;&gt;""),E8+E16,D17)</f>
        <v>-52.17</v>
      </c>
      <c r="F17" s="10">
        <f t="shared" ref="F17:M17" si="0">IF(AND(F4&lt;&gt;FALSE,F16&lt;&gt;"",F16&lt;&gt;""),F8+F16,E17)</f>
        <v>-53.27</v>
      </c>
      <c r="G17" s="10">
        <f t="shared" si="0"/>
        <v>-38.270000000000003</v>
      </c>
      <c r="H17" s="10">
        <f t="shared" si="0"/>
        <v>17.729999999999997</v>
      </c>
      <c r="I17" s="10">
        <f t="shared" si="0"/>
        <v>17.729999999999997</v>
      </c>
      <c r="J17" s="10">
        <f t="shared" si="0"/>
        <v>17.729999999999997</v>
      </c>
      <c r="K17" s="10">
        <f t="shared" si="0"/>
        <v>17.729999999999997</v>
      </c>
      <c r="L17" s="10">
        <f t="shared" si="0"/>
        <v>17.729999999999997</v>
      </c>
      <c r="M17" s="10">
        <f t="shared" si="0"/>
        <v>17.729999999999997</v>
      </c>
      <c r="N17" s="10">
        <f>IF(AND(N4&lt;&gt;FALSE,N16&lt;&gt;"",N16&lt;&gt;""),N8+N16,M17)</f>
        <v>17.729999999999997</v>
      </c>
      <c r="O17" s="10">
        <f>IF(AND(O4&lt;&gt;FALSE,O16&lt;&gt;"",O16&lt;&gt;""),O8+O16,N17)</f>
        <v>17.729999999999997</v>
      </c>
      <c r="P17" s="10">
        <f>IF(AND(P4&lt;&gt;FALSE,P16&lt;&gt;"",P16&lt;&gt;""),P8+P16,O17)</f>
        <v>17.729999999999997</v>
      </c>
      <c r="Q17" s="10">
        <f>IF(AND(Q4&lt;&gt;FALSE,Q16&lt;&gt;"",Q16&lt;&gt;""),Q8+Q16,P17)</f>
        <v>17.729999999999997</v>
      </c>
      <c r="R17" s="10">
        <f>IF(AND(R4&lt;&gt;FALSE,R16&lt;&gt;"",R16&lt;&gt;""),R8+R16,Q17)</f>
        <v>17.729999999999997</v>
      </c>
      <c r="S17" s="6"/>
      <c r="T17" s="6"/>
      <c r="U17" s="6"/>
      <c r="V17" s="6"/>
    </row>
    <row r="18" spans="1:22" x14ac:dyDescent="0.15">
      <c r="A18" s="6"/>
      <c r="B18" s="27" t="s">
        <v>9</v>
      </c>
      <c r="C18" s="28" t="s">
        <v>1</v>
      </c>
      <c r="D18" s="12">
        <f>IF(AND(D4&lt;&gt;FALSE,D10&lt;&gt;"",D17&lt;&gt;""),D10-D17,"")</f>
        <v>110.67</v>
      </c>
      <c r="E18" s="10">
        <f>IF(AND(E4&lt;&gt;FALSE,E10&lt;&gt;"",E17&lt;&gt;""),E10-E17,D18)</f>
        <v>112.17</v>
      </c>
      <c r="F18" s="10">
        <f t="shared" ref="F18:M18" si="1">IF(AND(F4&lt;&gt;FALSE,F10&lt;&gt;"",F17&lt;&gt;""),F10-F17,E18)</f>
        <v>113.27000000000001</v>
      </c>
      <c r="G18" s="10">
        <f t="shared" si="1"/>
        <v>53.27</v>
      </c>
      <c r="H18" s="10">
        <f t="shared" si="1"/>
        <v>42.27</v>
      </c>
      <c r="I18" s="10">
        <f t="shared" si="1"/>
        <v>42.27</v>
      </c>
      <c r="J18" s="10">
        <f t="shared" si="1"/>
        <v>42.27</v>
      </c>
      <c r="K18" s="10">
        <f t="shared" si="1"/>
        <v>42.27</v>
      </c>
      <c r="L18" s="10">
        <f t="shared" si="1"/>
        <v>42.27</v>
      </c>
      <c r="M18" s="10" t="e">
        <f t="shared" si="1"/>
        <v>#N/A</v>
      </c>
      <c r="N18" s="10" t="e">
        <f>IF(AND(N4&lt;&gt;FALSE,N10&lt;&gt;"",N17&lt;&gt;""),N10-N17,M18)</f>
        <v>#N/A</v>
      </c>
      <c r="O18" s="10" t="e">
        <f>IF(AND(O4&lt;&gt;FALSE,O10&lt;&gt;"",O17&lt;&gt;""),O10-O17,N18)</f>
        <v>#N/A</v>
      </c>
      <c r="P18" s="10" t="e">
        <f>IF(AND(P4&lt;&gt;FALSE,P10&lt;&gt;"",P17&lt;&gt;""),P10-P17,O18)</f>
        <v>#N/A</v>
      </c>
      <c r="Q18" s="10" t="e">
        <f>IF(AND(Q4&lt;&gt;FALSE,Q10&lt;&gt;"",Q17&lt;&gt;""),Q10-Q17,P18)</f>
        <v>#N/A</v>
      </c>
      <c r="R18" s="10" t="e">
        <f>IF(AND(R4&lt;&gt;FALSE,R10&lt;&gt;"",R17&lt;&gt;""),R10-R17,Q18)</f>
        <v>#N/A</v>
      </c>
      <c r="S18" s="6"/>
      <c r="T18" s="6"/>
      <c r="U18" s="6"/>
      <c r="V18" s="6"/>
    </row>
    <row r="19" spans="1:22" x14ac:dyDescent="0.15">
      <c r="A19" s="6"/>
      <c r="B19" s="25" t="s">
        <v>10</v>
      </c>
      <c r="C19" s="26" t="s">
        <v>42</v>
      </c>
      <c r="D19" s="12">
        <f>IF(AND(D4&lt;&gt;FALSE,D15&lt;&gt;"",D17&lt;&gt;""),2*(D15-D17),"")</f>
        <v>221.34</v>
      </c>
      <c r="E19" s="10">
        <f>IF(AND(E4&lt;&gt;FALSE,E15&lt;&gt;"",E17&lt;&gt;""),2*(E15-E17),D19)</f>
        <v>216.69051838624827</v>
      </c>
      <c r="F19" s="10">
        <f>IF(AND(F4&lt;&gt;FALSE,F15&lt;&gt;"",F17&lt;&gt;""),2*(F15-F17),E19)</f>
        <v>214.26749615379171</v>
      </c>
      <c r="G19" s="10">
        <f>IF(AND(G4&lt;&gt;FALSE,G15&lt;&gt;"",G17&lt;&gt;""),2*(G15-G17),F19)</f>
        <v>108.53995508014185</v>
      </c>
      <c r="H19" s="10">
        <f>IF(AND(H4&lt;&gt;FALSE,H15&lt;&gt;"",H17&lt;&gt;""),2*(H15-H17),G19)</f>
        <v>84.008549822035533</v>
      </c>
      <c r="I19" s="10">
        <f t="shared" ref="I19:R19" si="2">IF(AND(I4&lt;&gt;FALSE,I15&lt;&gt;"",I17&lt;&gt;""),2*(I15-I17),H19)</f>
        <v>84.008549822035533</v>
      </c>
      <c r="J19" s="10">
        <f t="shared" si="2"/>
        <v>84.008549822035533</v>
      </c>
      <c r="K19" s="10">
        <f t="shared" si="2"/>
        <v>84.008549822035533</v>
      </c>
      <c r="L19" s="10">
        <f t="shared" si="2"/>
        <v>84.008549822035533</v>
      </c>
      <c r="M19" s="10">
        <f t="shared" si="2"/>
        <v>84.008549822035533</v>
      </c>
      <c r="N19" s="10">
        <f t="shared" si="2"/>
        <v>84.008549822035533</v>
      </c>
      <c r="O19" s="10">
        <f t="shared" si="2"/>
        <v>84.008549822035533</v>
      </c>
      <c r="P19" s="10">
        <f t="shared" si="2"/>
        <v>84.008549822035533</v>
      </c>
      <c r="Q19" s="10">
        <f t="shared" si="2"/>
        <v>84.008549822035533</v>
      </c>
      <c r="R19" s="10">
        <f t="shared" si="2"/>
        <v>84.008549822035533</v>
      </c>
      <c r="S19" s="6"/>
      <c r="T19" s="6"/>
      <c r="U19" s="6"/>
      <c r="V19" s="6"/>
    </row>
    <row r="20" spans="1:22" x14ac:dyDescent="0.15">
      <c r="A20" s="6"/>
      <c r="B20" s="39" t="s">
        <v>13</v>
      </c>
      <c r="C20" s="40" t="s">
        <v>1</v>
      </c>
      <c r="D20" s="12">
        <f>IF(AND(D4&lt;&gt;FALSE,D15&lt;&gt;"",D17&lt;&gt;"",$G$28&lt;&gt;""),-20.75+1.6*$G$28+2*(D17-D15),"")</f>
        <v>-226.09</v>
      </c>
      <c r="E20" s="10">
        <f>IF(AND(E4&lt;&gt;FALSE,E15&lt;&gt;"",E17&lt;&gt;"",$G$28&lt;&gt;""),-20.75+1.6*$G$28+2*(E17-E15),D20)</f>
        <v>-221.44051838624827</v>
      </c>
      <c r="F20" s="10">
        <f t="shared" ref="F20:M20" si="3">IF(AND(F4&lt;&gt;FALSE,F15&lt;&gt;"",F17&lt;&gt;"",$G$28&lt;&gt;""),-20.75+1.6*$G$28+2*(F17-F15),E20)</f>
        <v>-219.01749615379171</v>
      </c>
      <c r="G20" s="10">
        <f t="shared" si="3"/>
        <v>-113.28995508014185</v>
      </c>
      <c r="H20" s="10">
        <f t="shared" si="3"/>
        <v>-88.758549822035533</v>
      </c>
      <c r="I20" s="10">
        <f t="shared" si="3"/>
        <v>-88.758549822035533</v>
      </c>
      <c r="J20" s="10">
        <f t="shared" si="3"/>
        <v>-88.758549822035533</v>
      </c>
      <c r="K20" s="10">
        <f t="shared" si="3"/>
        <v>-88.758549822035533</v>
      </c>
      <c r="L20" s="10">
        <f t="shared" si="3"/>
        <v>-88.758549822035533</v>
      </c>
      <c r="M20" s="10">
        <f t="shared" si="3"/>
        <v>-88.758549822035533</v>
      </c>
      <c r="N20" s="10">
        <f>IF(AND(N4&lt;&gt;FALSE,N15&lt;&gt;"",N17&lt;&gt;"",$G$28&lt;&gt;""),-20.75+1.6*$G$28+2*(N17-N15),M20)</f>
        <v>-88.758549822035533</v>
      </c>
      <c r="O20" s="10">
        <f>IF(AND(O4&lt;&gt;FALSE,O15&lt;&gt;"",O17&lt;&gt;"",$G$28&lt;&gt;""),-20.75+1.6*$G$28+2*(O17-O15),N20)</f>
        <v>-88.758549822035533</v>
      </c>
      <c r="P20" s="10">
        <f>IF(AND(P4&lt;&gt;FALSE,P15&lt;&gt;"",P17&lt;&gt;"",$G$28&lt;&gt;""),-20.75+1.6*$G$28+2*(P17-P15),O20)</f>
        <v>-88.758549822035533</v>
      </c>
      <c r="Q20" s="10">
        <f>IF(AND(Q4&lt;&gt;FALSE,Q15&lt;&gt;"",Q17&lt;&gt;"",$G$28&lt;&gt;""),-20.75+1.6*$G$28+2*(Q17-Q15),P20)</f>
        <v>-88.758549822035533</v>
      </c>
      <c r="R20" s="10">
        <f>IF(AND(R4&lt;&gt;FALSE,R15&lt;&gt;"",R17&lt;&gt;"",$G$28&lt;&gt;""),-20.75+1.6*$G$28+2*(R17-R15),Q20)</f>
        <v>-88.758549822035533</v>
      </c>
      <c r="S20" s="6"/>
      <c r="T20" s="6"/>
      <c r="U20" s="6"/>
      <c r="V20" s="6"/>
    </row>
    <row r="21" spans="1:22" x14ac:dyDescent="0.15">
      <c r="A21" s="6"/>
      <c r="B21" s="7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</row>
    <row r="22" spans="1:22" x14ac:dyDescent="0.15">
      <c r="A22" s="6"/>
      <c r="B22"/>
      <c r="C22"/>
      <c r="D22" s="74" t="s">
        <v>11</v>
      </c>
      <c r="E22" s="74"/>
      <c r="F22" s="74"/>
      <c r="G22" s="74"/>
      <c r="H22" s="17"/>
      <c r="I22" s="68" t="s">
        <v>48</v>
      </c>
      <c r="J22" s="69"/>
      <c r="K22" s="69"/>
      <c r="L22" s="69"/>
      <c r="M22" s="70"/>
      <c r="N22" s="6"/>
      <c r="O22" s="65" t="s">
        <v>19</v>
      </c>
      <c r="P22" s="66"/>
      <c r="Q22" s="66"/>
      <c r="R22" s="67"/>
      <c r="S22" s="6"/>
      <c r="T22" s="6"/>
      <c r="U22" s="6"/>
      <c r="V22" s="6"/>
    </row>
    <row r="23" spans="1:22" x14ac:dyDescent="0.15">
      <c r="A23" s="6"/>
      <c r="B23"/>
      <c r="C23"/>
      <c r="D23" s="75" t="s">
        <v>37</v>
      </c>
      <c r="E23" s="75"/>
      <c r="F23" s="19" t="s">
        <v>3</v>
      </c>
      <c r="G23" s="20">
        <v>-50</v>
      </c>
      <c r="H23" s="6"/>
      <c r="I23" s="74" t="s">
        <v>16</v>
      </c>
      <c r="J23" s="74"/>
      <c r="K23" s="74"/>
      <c r="L23" s="19" t="s">
        <v>3</v>
      </c>
      <c r="M23" s="12">
        <f>IF(AND(G25&lt;&gt;"",G27&lt;&gt;"",G26&lt;&gt;""),10*LOG(1.3806505*10^(-20)*G25*10^6*G27)+LOOKUP(9E+307,13:13)+G26,"")</f>
        <v>-101.229767587376</v>
      </c>
      <c r="N23" s="6"/>
      <c r="O23" s="76" t="s">
        <v>21</v>
      </c>
      <c r="P23" s="77"/>
      <c r="Q23" s="77"/>
      <c r="R23" s="78"/>
      <c r="S23" s="6"/>
      <c r="T23" s="6"/>
      <c r="U23" s="6"/>
      <c r="V23" s="6"/>
    </row>
    <row r="24" spans="1:22" x14ac:dyDescent="0.15">
      <c r="A24" s="6"/>
      <c r="B24"/>
      <c r="C24"/>
      <c r="D24" s="75" t="s">
        <v>14</v>
      </c>
      <c r="E24" s="75"/>
      <c r="F24" s="19" t="s">
        <v>1</v>
      </c>
      <c r="G24" s="20">
        <v>10</v>
      </c>
      <c r="H24" s="6"/>
      <c r="I24" s="74" t="s">
        <v>17</v>
      </c>
      <c r="J24" s="74"/>
      <c r="K24" s="74"/>
      <c r="L24" s="19" t="s">
        <v>49</v>
      </c>
      <c r="M24" s="12">
        <f>IF(AND(G27&lt;&gt;""),10*LOG(1.3806505*10^(-20)*G27)+LOOKUP(9E+307,13:13),"")</f>
        <v>-169.77219268176924</v>
      </c>
      <c r="N24" s="6"/>
      <c r="O24" s="76" t="s">
        <v>51</v>
      </c>
      <c r="P24" s="77"/>
      <c r="Q24" s="77"/>
      <c r="R24" s="78"/>
      <c r="S24" s="6"/>
      <c r="T24" s="6"/>
      <c r="U24" s="6"/>
      <c r="V24" s="6"/>
    </row>
    <row r="25" spans="1:22" x14ac:dyDescent="0.15">
      <c r="A25" s="6"/>
      <c r="B25"/>
      <c r="C25"/>
      <c r="D25" s="75" t="s">
        <v>43</v>
      </c>
      <c r="E25" s="75"/>
      <c r="F25" s="19" t="s">
        <v>25</v>
      </c>
      <c r="G25" s="20">
        <v>9</v>
      </c>
      <c r="H25" s="6"/>
      <c r="I25" s="74" t="s">
        <v>22</v>
      </c>
      <c r="J25" s="74"/>
      <c r="K25" s="74"/>
      <c r="L25" s="19" t="s">
        <v>20</v>
      </c>
      <c r="M25" s="12">
        <f>IF(AND(M24&lt;&gt;""),M24+LOOKUP(9E+307,12:12),"")</f>
        <v>-102.04219268176924</v>
      </c>
      <c r="N25" s="6"/>
      <c r="O25" s="76" t="s">
        <v>33</v>
      </c>
      <c r="P25" s="77"/>
      <c r="Q25" s="77"/>
      <c r="R25" s="78"/>
      <c r="S25" s="6"/>
      <c r="T25" s="6"/>
      <c r="U25" s="6"/>
      <c r="V25" s="6"/>
    </row>
    <row r="26" spans="1:22" x14ac:dyDescent="0.15">
      <c r="A26" s="6"/>
      <c r="B26"/>
      <c r="C26"/>
      <c r="D26" s="75" t="s">
        <v>44</v>
      </c>
      <c r="E26" s="75"/>
      <c r="F26" s="19" t="s">
        <v>1</v>
      </c>
      <c r="G26" s="20">
        <v>-1</v>
      </c>
      <c r="H26" s="6"/>
      <c r="I26" s="74" t="s">
        <v>15</v>
      </c>
      <c r="J26" s="74"/>
      <c r="K26" s="74"/>
      <c r="L26" s="19" t="s">
        <v>20</v>
      </c>
      <c r="M26" s="12">
        <f>IF(AND(G25&lt;&gt;"",G27&lt;&gt;""),10*LOG(1.3806505*10^(-20)*G25*10^6*G27)+LOOKUP(9E+307,13:13),"")</f>
        <v>-100.229767587376</v>
      </c>
      <c r="N26" s="6"/>
      <c r="O26" s="76" t="s">
        <v>34</v>
      </c>
      <c r="P26" s="77"/>
      <c r="Q26" s="77"/>
      <c r="R26" s="78"/>
      <c r="S26" s="6"/>
      <c r="T26" s="6"/>
      <c r="U26" s="6"/>
      <c r="V26" s="6"/>
    </row>
    <row r="27" spans="1:22" x14ac:dyDescent="0.15">
      <c r="A27" s="6"/>
      <c r="B27"/>
      <c r="C27"/>
      <c r="D27" s="75" t="s">
        <v>45</v>
      </c>
      <c r="E27" s="75"/>
      <c r="F27" s="19" t="s">
        <v>46</v>
      </c>
      <c r="G27" s="20">
        <v>298</v>
      </c>
      <c r="H27" s="6"/>
      <c r="I27" s="74" t="s">
        <v>18</v>
      </c>
      <c r="J27" s="74"/>
      <c r="K27" s="74"/>
      <c r="L27" s="19" t="s">
        <v>20</v>
      </c>
      <c r="M27" s="12">
        <f>IF(AND(M26&lt;&gt;""),M26+LOOKUP(9E+307,12:12),"")</f>
        <v>-32.499767587375999</v>
      </c>
      <c r="N27" s="6"/>
      <c r="O27" s="76" t="s">
        <v>23</v>
      </c>
      <c r="P27" s="77"/>
      <c r="Q27" s="77"/>
      <c r="R27" s="78"/>
      <c r="S27" s="6"/>
      <c r="T27" s="6"/>
      <c r="U27" s="6"/>
      <c r="V27" s="6"/>
    </row>
    <row r="28" spans="1:22" x14ac:dyDescent="0.15">
      <c r="A28" s="6"/>
      <c r="B28"/>
      <c r="C28"/>
      <c r="D28" s="75" t="s">
        <v>12</v>
      </c>
      <c r="E28" s="75"/>
      <c r="F28" s="19" t="s">
        <v>1</v>
      </c>
      <c r="G28" s="20">
        <v>10</v>
      </c>
      <c r="H28" s="6"/>
      <c r="I28" s="74" t="s">
        <v>50</v>
      </c>
      <c r="J28" s="74"/>
      <c r="K28" s="74"/>
      <c r="L28" s="19" t="s">
        <v>1</v>
      </c>
      <c r="M28" s="12">
        <f>G23-M26</f>
        <v>50.229767587376003</v>
      </c>
      <c r="N28" s="6"/>
      <c r="O28" s="76" t="s">
        <v>35</v>
      </c>
      <c r="P28" s="77"/>
      <c r="Q28" s="77"/>
      <c r="R28" s="78"/>
      <c r="S28" s="6"/>
      <c r="T28" s="6"/>
      <c r="U28" s="6"/>
      <c r="V28" s="6"/>
    </row>
    <row r="29" spans="1:22" x14ac:dyDescent="0.15">
      <c r="A29" s="6"/>
      <c r="B29"/>
      <c r="C29"/>
      <c r="D29" s="75" t="s">
        <v>28</v>
      </c>
      <c r="E29" s="75"/>
      <c r="F29" s="19"/>
      <c r="G29" s="20" t="s">
        <v>26</v>
      </c>
      <c r="H29" s="9"/>
      <c r="I29" s="74" t="s">
        <v>27</v>
      </c>
      <c r="J29" s="74"/>
      <c r="K29" s="74"/>
      <c r="L29" s="19"/>
      <c r="M29" s="18" t="str">
        <f>IF(G29="是",IF(LOOKUP(9E+307,17:17)&gt;G31,"起控","未起控"),"无效")</f>
        <v>起控</v>
      </c>
      <c r="N29" s="8"/>
      <c r="O29" s="8"/>
      <c r="P29" s="8"/>
      <c r="Q29" s="8"/>
      <c r="R29" s="8"/>
      <c r="S29" s="8"/>
      <c r="T29" s="8"/>
      <c r="U29" s="8"/>
      <c r="V29" s="6"/>
    </row>
    <row r="30" spans="1:22" s="3" customFormat="1" x14ac:dyDescent="0.15">
      <c r="A30" s="8"/>
      <c r="B30" s="8"/>
      <c r="C30" s="6"/>
      <c r="D30" s="75" t="s">
        <v>60</v>
      </c>
      <c r="E30" s="75"/>
      <c r="F30" s="19"/>
      <c r="G30" s="20">
        <v>6</v>
      </c>
      <c r="H30" s="8"/>
      <c r="I30" s="74" t="s">
        <v>32</v>
      </c>
      <c r="J30" s="74"/>
      <c r="K30" s="74"/>
      <c r="L30" s="19" t="s">
        <v>1</v>
      </c>
      <c r="M30" s="12">
        <f>LOOKUP(9E+307,17:17)-G31</f>
        <v>0.72999999999999687</v>
      </c>
      <c r="N30" s="8"/>
      <c r="O30" s="8"/>
      <c r="P30" s="8"/>
      <c r="Q30" s="8"/>
      <c r="R30" s="8"/>
      <c r="S30" s="8"/>
      <c r="T30" s="8"/>
      <c r="U30" s="8"/>
      <c r="V30" s="8"/>
    </row>
    <row r="31" spans="1:22" s="3" customFormat="1" x14ac:dyDescent="0.15">
      <c r="A31" s="8"/>
      <c r="B31" s="8"/>
      <c r="C31" s="6"/>
      <c r="D31" s="75" t="s">
        <v>47</v>
      </c>
      <c r="E31" s="75"/>
      <c r="F31" s="19" t="s">
        <v>3</v>
      </c>
      <c r="G31" s="20">
        <v>17</v>
      </c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</row>
    <row r="32" spans="1:22" s="3" customFormat="1" x14ac:dyDescent="0.15">
      <c r="A32" s="8"/>
      <c r="B32" s="8"/>
      <c r="C32" s="6"/>
      <c r="D32" s="8" t="s">
        <v>68</v>
      </c>
      <c r="E32" s="8"/>
      <c r="F32" s="8"/>
      <c r="G32" s="6">
        <v>65</v>
      </c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</row>
    <row r="33" spans="1:22" s="3" customFormat="1" x14ac:dyDescent="0.15">
      <c r="A33" s="8"/>
      <c r="B33" s="8"/>
      <c r="C33" s="6"/>
      <c r="D33"/>
      <c r="E33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</row>
    <row r="34" spans="1:22" s="3" customFormat="1" x14ac:dyDescent="0.15">
      <c r="A34" s="8"/>
      <c r="B34" s="8"/>
      <c r="C34" s="6"/>
      <c r="D34"/>
      <c r="E34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</row>
    <row r="35" spans="1:22" s="3" customFormat="1" x14ac:dyDescent="0.15">
      <c r="A35" s="8"/>
      <c r="B35" s="8"/>
      <c r="C35" s="6"/>
      <c r="D35"/>
      <c r="E35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</row>
    <row r="36" spans="1:22" s="3" customFormat="1" x14ac:dyDescent="0.15">
      <c r="C36" s="6"/>
      <c r="D36"/>
      <c r="E36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</row>
    <row r="37" spans="1:22" s="3" customFormat="1" x14ac:dyDescent="0.15">
      <c r="C37" s="2"/>
      <c r="D37"/>
      <c r="E37"/>
      <c r="F37" s="8"/>
      <c r="G37" s="8"/>
    </row>
    <row r="38" spans="1:22" s="3" customFormat="1" x14ac:dyDescent="0.15">
      <c r="C38" s="2"/>
      <c r="D38"/>
      <c r="E38"/>
    </row>
    <row r="39" spans="1:22" s="3" customFormat="1" x14ac:dyDescent="0.15">
      <c r="C39" s="2"/>
      <c r="D39"/>
      <c r="E39"/>
    </row>
    <row r="40" spans="1:22" x14ac:dyDescent="0.15">
      <c r="B40" s="2"/>
      <c r="D40" s="3"/>
      <c r="E40" s="3"/>
      <c r="G40" s="3"/>
      <c r="J40" s="3"/>
      <c r="K40" s="3"/>
      <c r="L40" s="3"/>
      <c r="M40" s="3"/>
      <c r="N40" s="3"/>
      <c r="O40" s="3"/>
      <c r="P40" s="3"/>
    </row>
    <row r="41" spans="1:22" x14ac:dyDescent="0.15">
      <c r="J41" s="3"/>
      <c r="K41" s="3"/>
      <c r="L41" s="3"/>
      <c r="M41" s="3"/>
      <c r="N41" s="3"/>
    </row>
  </sheetData>
  <mergeCells count="27">
    <mergeCell ref="B1:C3"/>
    <mergeCell ref="D22:G22"/>
    <mergeCell ref="I22:M22"/>
    <mergeCell ref="O22:R22"/>
    <mergeCell ref="D23:E23"/>
    <mergeCell ref="I23:K23"/>
    <mergeCell ref="O23:R23"/>
    <mergeCell ref="D24:E24"/>
    <mergeCell ref="I24:K24"/>
    <mergeCell ref="O24:R24"/>
    <mergeCell ref="D25:E25"/>
    <mergeCell ref="I25:K25"/>
    <mergeCell ref="O25:R25"/>
    <mergeCell ref="D26:E26"/>
    <mergeCell ref="I26:K26"/>
    <mergeCell ref="O26:R26"/>
    <mergeCell ref="D27:E27"/>
    <mergeCell ref="I27:K27"/>
    <mergeCell ref="O27:R27"/>
    <mergeCell ref="D31:E31"/>
    <mergeCell ref="D28:E28"/>
    <mergeCell ref="I28:K28"/>
    <mergeCell ref="O28:R28"/>
    <mergeCell ref="D29:E29"/>
    <mergeCell ref="I29:K29"/>
    <mergeCell ref="D30:E30"/>
    <mergeCell ref="I30:K30"/>
  </mergeCells>
  <phoneticPr fontId="16" type="noConversion"/>
  <conditionalFormatting sqref="D18:R18">
    <cfRule type="cellIs" dxfId="14" priority="11" operator="lessThan">
      <formula>$G24</formula>
    </cfRule>
  </conditionalFormatting>
  <conditionalFormatting sqref="D5:R11">
    <cfRule type="expression" dxfId="13" priority="10">
      <formula>D$4=FALSE</formula>
    </cfRule>
  </conditionalFormatting>
  <conditionalFormatting sqref="M29">
    <cfRule type="cellIs" dxfId="12" priority="8" operator="equal">
      <formula>"未起控"</formula>
    </cfRule>
    <cfRule type="cellIs" dxfId="11" priority="9" operator="equal">
      <formula>"起控"</formula>
    </cfRule>
  </conditionalFormatting>
  <conditionalFormatting sqref="D12:R20">
    <cfRule type="expression" dxfId="10" priority="3">
      <formula>D$4=FALSE</formula>
    </cfRule>
  </conditionalFormatting>
  <conditionalFormatting sqref="D4:I4 K4:R4">
    <cfRule type="cellIs" dxfId="9" priority="6" operator="equal">
      <formula>FALSE</formula>
    </cfRule>
    <cfRule type="cellIs" dxfId="8" priority="7" operator="equal">
      <formula>TRUE</formula>
    </cfRule>
  </conditionalFormatting>
  <conditionalFormatting sqref="J4">
    <cfRule type="cellIs" dxfId="7" priority="4" operator="equal">
      <formula>FALSE</formula>
    </cfRule>
    <cfRule type="cellIs" dxfId="6" priority="5" operator="equal">
      <formula>TRUE</formula>
    </cfRule>
  </conditionalFormatting>
  <conditionalFormatting sqref="N13">
    <cfRule type="expression" dxfId="5" priority="1" stopIfTrue="1">
      <formula>$H$24&lt;0</formula>
    </cfRule>
    <cfRule type="expression" dxfId="4" priority="2">
      <formula>$H$24&gt;0</formula>
    </cfRule>
  </conditionalFormatting>
  <pageMargins left="0.7" right="0.7" top="0.75" bottom="0.75" header="0.3" footer="0.3"/>
  <pageSetup paperSize="9" scale="49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3241" r:id="rId4" name="交换">
          <controlPr autoLine="0" r:id="rId5">
            <anchor moveWithCells="1">
              <from>
                <xdr:col>0</xdr:col>
                <xdr:colOff>66675</xdr:colOff>
                <xdr:row>2</xdr:row>
                <xdr:rowOff>200025</xdr:rowOff>
              </from>
              <to>
                <xdr:col>1</xdr:col>
                <xdr:colOff>0</xdr:colOff>
                <xdr:row>4</xdr:row>
                <xdr:rowOff>57150</xdr:rowOff>
              </to>
            </anchor>
          </controlPr>
        </control>
      </mc:Choice>
      <mc:Fallback>
        <control shapeId="93241" r:id="rId4" name="交换"/>
      </mc:Fallback>
    </mc:AlternateContent>
    <mc:AlternateContent xmlns:mc="http://schemas.openxmlformats.org/markup-compatibility/2006">
      <mc:Choice Requires="x14">
        <control shapeId="93242" r:id="rId6" name="stage2">
          <controlPr autoLine="0" r:id="rId7">
            <anchor moveWithCells="1">
              <from>
                <xdr:col>0</xdr:col>
                <xdr:colOff>66675</xdr:colOff>
                <xdr:row>5</xdr:row>
                <xdr:rowOff>104775</xdr:rowOff>
              </from>
              <to>
                <xdr:col>1</xdr:col>
                <xdr:colOff>0</xdr:colOff>
                <xdr:row>6</xdr:row>
                <xdr:rowOff>142875</xdr:rowOff>
              </to>
            </anchor>
          </controlPr>
        </control>
      </mc:Choice>
      <mc:Fallback>
        <control shapeId="93242" r:id="rId6" name="stage2"/>
      </mc:Fallback>
    </mc:AlternateContent>
    <mc:AlternateContent xmlns:mc="http://schemas.openxmlformats.org/markup-compatibility/2006">
      <mc:Choice Requires="x14">
        <control shapeId="93243" r:id="rId8" name="stage_num_set">
          <controlPr autoLine="0" r:id="rId9">
            <anchor moveWithCells="1">
              <from>
                <xdr:col>0</xdr:col>
                <xdr:colOff>66675</xdr:colOff>
                <xdr:row>8</xdr:row>
                <xdr:rowOff>38100</xdr:rowOff>
              </from>
              <to>
                <xdr:col>1</xdr:col>
                <xdr:colOff>0</xdr:colOff>
                <xdr:row>9</xdr:row>
                <xdr:rowOff>114300</xdr:rowOff>
              </to>
            </anchor>
          </controlPr>
        </control>
      </mc:Choice>
      <mc:Fallback>
        <control shapeId="93243" r:id="rId8" name="stage_num_set"/>
      </mc:Fallback>
    </mc:AlternateContent>
    <mc:AlternateContent xmlns:mc="http://schemas.openxmlformats.org/markup-compatibility/2006">
      <mc:Choice Requires="x14">
        <control shapeId="93244" r:id="rId10" name="stage_num">
          <controlPr autoLine="0" r:id="rId11">
            <anchor moveWithCells="1">
              <from>
                <xdr:col>0</xdr:col>
                <xdr:colOff>66675</xdr:colOff>
                <xdr:row>9</xdr:row>
                <xdr:rowOff>114300</xdr:rowOff>
              </from>
              <to>
                <xdr:col>1</xdr:col>
                <xdr:colOff>0</xdr:colOff>
                <xdr:row>10</xdr:row>
                <xdr:rowOff>152400</xdr:rowOff>
              </to>
            </anchor>
          </controlPr>
        </control>
      </mc:Choice>
      <mc:Fallback>
        <control shapeId="93244" r:id="rId10" name="stage_num"/>
      </mc:Fallback>
    </mc:AlternateContent>
    <mc:AlternateContent xmlns:mc="http://schemas.openxmlformats.org/markup-compatibility/2006">
      <mc:Choice Requires="x14">
        <control shapeId="93245" r:id="rId12" name="stage1">
          <controlPr autoLine="0" r:id="rId13">
            <anchor moveWithCells="1">
              <from>
                <xdr:col>0</xdr:col>
                <xdr:colOff>66675</xdr:colOff>
                <xdr:row>4</xdr:row>
                <xdr:rowOff>57150</xdr:rowOff>
              </from>
              <to>
                <xdr:col>1</xdr:col>
                <xdr:colOff>0</xdr:colOff>
                <xdr:row>5</xdr:row>
                <xdr:rowOff>104775</xdr:rowOff>
              </to>
            </anchor>
          </controlPr>
        </control>
      </mc:Choice>
      <mc:Fallback>
        <control shapeId="93245" r:id="rId12" name="stage1"/>
      </mc:Fallback>
    </mc:AlternateContent>
    <mc:AlternateContent xmlns:mc="http://schemas.openxmlformats.org/markup-compatibility/2006">
      <mc:Choice Requires="x14">
        <control shapeId="93185" r:id="rId14" name="Check Box 1">
          <controlPr defaultSize="0" autoFill="0" autoLine="0" autoPict="0" macro="[0]!复选框10_Click" altText="启用">
            <anchor moveWithCells="1">
              <from>
                <xdr:col>4</xdr:col>
                <xdr:colOff>152400</xdr:colOff>
                <xdr:row>2</xdr:row>
                <xdr:rowOff>200025</xdr:rowOff>
              </from>
              <to>
                <xdr:col>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186" r:id="rId15" name="Check Box 2">
          <controlPr defaultSize="0" autoFill="0" autoLine="0" autoPict="0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187" r:id="rId16" name="Check Box 3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188" r:id="rId17" name="Check Box 4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189" r:id="rId18" name="Check Box 5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190" r:id="rId19" name="Check Box 6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191" r:id="rId20" name="Check Box 7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192" r:id="rId21" name="Check Box 8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193" r:id="rId22" name="Check Box 9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194" r:id="rId23" name="Check Box 10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195" r:id="rId24" name="Check Box 11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196" r:id="rId25" name="Check Box 12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197" r:id="rId26" name="Check Box 13">
          <controlPr defaultSize="0" autoFill="0" autoLine="0" autoPict="0" altText="启用">
            <anchor moveWithCells="1">
              <from>
                <xdr:col>4</xdr:col>
                <xdr:colOff>152400</xdr:colOff>
                <xdr:row>2</xdr:row>
                <xdr:rowOff>200025</xdr:rowOff>
              </from>
              <to>
                <xdr:col>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198" r:id="rId27" name="Check Box 14">
          <controlPr defaultSize="0" autoFill="0" autoLine="0" autoPict="0" macro="[0]!复选框10_Click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199" r:id="rId28" name="Check Box 15">
          <controlPr defaultSize="0" autoFill="0" autoLine="0" autoPict="0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00" r:id="rId29" name="Check Box 16">
          <controlPr defaultSize="0" autoFill="0" autoLine="0" autoPict="0" macro="[0]!复选框10_Click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01" r:id="rId30" name="Check Box 17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02" r:id="rId31" name="Check Box 18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03" r:id="rId32" name="Check Box 19">
          <controlPr defaultSize="0" autoFill="0" autoLine="0" autoPict="0" macro="[0]!复选框10_Click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04" r:id="rId33" name="Check Box 20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05" r:id="rId34" name="Check Box 21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06" r:id="rId35" name="Check Box 22">
          <controlPr defaultSize="0" autoFill="0" autoLine="0" autoPict="0" macro="[0]!复选框10_Click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07" r:id="rId36" name="Check Box 23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08" r:id="rId37" name="Check Box 24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09" r:id="rId38" name="Check Box 25">
          <controlPr defaultSize="0" autoFill="0" autoLine="0" autoPict="0" macro="[0]!复选框10_Click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10" r:id="rId39" name="Check Box 26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11" r:id="rId40" name="Check Box 27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12" r:id="rId41" name="Check Box 28">
          <controlPr defaultSize="0" autoFill="0" autoLine="0" autoPict="0" macro="[0]!复选框10_Click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13" r:id="rId42" name="Check Box 29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14" r:id="rId43" name="Check Box 30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15" r:id="rId44" name="Check Box 31">
          <controlPr defaultSize="0" autoFill="0" autoLine="0" autoPict="0" macro="[0]!复选框10_Click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16" r:id="rId45" name="Check Box 32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17" r:id="rId46" name="Check Box 33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18" r:id="rId47" name="Check Box 34">
          <controlPr defaultSize="0" autoFill="0" autoLine="0" autoPict="0" macro="[0]!复选框10_Click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19" r:id="rId48" name="Check Box 35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20" r:id="rId49" name="Check Box 36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21" r:id="rId50" name="Check Box 37">
          <controlPr defaultSize="0" autoFill="0" autoLine="0" autoPict="0" macro="[0]!复选框10_Click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22" r:id="rId51" name="Check Box 38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23" r:id="rId52" name="Check Box 39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24" r:id="rId53" name="Check Box 40">
          <controlPr defaultSize="0" autoFill="0" autoLine="0" autoPict="0" macro="[0]!复选框10_Click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25" r:id="rId54" name="Check Box 41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26" r:id="rId55" name="Check Box 42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27" r:id="rId56" name="Check Box 43">
          <controlPr defaultSize="0" autoFill="0" autoLine="0" autoPict="0" macro="[0]!复选框10_Click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28" r:id="rId57" name="Check Box 44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29" r:id="rId58" name="Check Box 45">
          <controlPr defaultSize="0" autoFill="0" autoLine="0" autoPict="0" altText="启用">
            <anchor moveWithCells="1">
              <from>
                <xdr:col>3</xdr:col>
                <xdr:colOff>152400</xdr:colOff>
                <xdr:row>2</xdr:row>
                <xdr:rowOff>200025</xdr:rowOff>
              </from>
              <to>
                <xdr:col>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30" r:id="rId59" name="Check Box 46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31" r:id="rId60" name="Check Box 47">
          <controlPr defaultSize="0" autoFill="0" autoLine="0" autoPict="0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32" r:id="rId61" name="Check Box 48">
          <controlPr defaultSize="0" autoFill="0" autoLine="0" autoPict="0" macro="[0]!复选框10_Click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33" r:id="rId62" name="Check Box 49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34" r:id="rId63" name="Check Box 50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35" r:id="rId64" name="Check Box 51">
          <controlPr defaultSize="0" autoFill="0" autoLine="0" autoPict="0" macro="[0]!复选框10_Click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36" r:id="rId65" name="Check Box 52">
          <controlPr defaultSize="0" autoFill="0" autoLine="0" autoPict="0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37" r:id="rId66" name="Check Box 53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38" r:id="rId67" name="Check Box 54">
          <controlPr defaultSize="0" autoFill="0" autoLine="0" autoPict="0" macro="[0]!复选框10_Click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39" r:id="rId68" name="Check Box 55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40" r:id="rId69" name="Check Box 56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J163"/>
  <sheetViews>
    <sheetView tabSelected="1" workbookViewId="0">
      <pane ySplit="1" topLeftCell="A50" activePane="bottomLeft" state="frozen"/>
      <selection pane="bottomLeft" activeCell="J53" sqref="J53"/>
    </sheetView>
  </sheetViews>
  <sheetFormatPr defaultRowHeight="16.5" x14ac:dyDescent="0.15"/>
  <cols>
    <col min="1" max="1" width="11.875" style="3" bestFit="1" customWidth="1"/>
    <col min="2" max="2" width="31.5" style="3" bestFit="1" customWidth="1"/>
    <col min="3" max="3" width="15.875" style="3" bestFit="1" customWidth="1"/>
    <col min="4" max="4" width="7" style="3" bestFit="1" customWidth="1"/>
    <col min="5" max="5" width="6.25" style="3" bestFit="1" customWidth="1"/>
    <col min="6" max="6" width="6.375" style="3" bestFit="1" customWidth="1"/>
    <col min="7" max="7" width="6.25" style="3" bestFit="1" customWidth="1"/>
    <col min="8" max="16384" width="9" style="3"/>
  </cols>
  <sheetData>
    <row r="1" spans="1:8" x14ac:dyDescent="0.15">
      <c r="A1" s="5" t="str">
        <f>[1]Sheet1!A1</f>
        <v>种类</v>
      </c>
      <c r="B1" s="5" t="str">
        <f>[1]Sheet1!B1</f>
        <v>型号</v>
      </c>
      <c r="C1" s="5" t="str">
        <f>[1]Sheet1!C1</f>
        <v>频率</v>
      </c>
      <c r="D1" s="5" t="str">
        <f>[1]Sheet1!D1</f>
        <v>增益</v>
      </c>
      <c r="E1" s="5" t="str">
        <f>[1]Sheet1!E1</f>
        <v>NF</v>
      </c>
      <c r="F1" s="5" t="str">
        <f>[1]Sheet1!F1</f>
        <v>P1dB</v>
      </c>
      <c r="G1" s="5" t="str">
        <f>[1]Sheet1!G1</f>
        <v>OIP3</v>
      </c>
      <c r="H1" s="5" t="str">
        <f>[1]Sheet1!H1</f>
        <v>备注</v>
      </c>
    </row>
    <row r="2" spans="1:8" x14ac:dyDescent="0.15">
      <c r="A2" s="5" t="str">
        <f>[1]Sheet1!A2</f>
        <v>衰减器</v>
      </c>
      <c r="B2" s="5" t="str">
        <f>[1]Sheet1!B2</f>
        <v>8dB</v>
      </c>
      <c r="C2" s="5" t="str">
        <f>[1]Sheet1!C2</f>
        <v>Wide Band</v>
      </c>
      <c r="D2" s="5">
        <f>[1]Sheet1!D2</f>
        <v>-8</v>
      </c>
      <c r="E2" s="5">
        <f>[1]Sheet1!E2</f>
        <v>8</v>
      </c>
      <c r="F2" s="5">
        <f>[1]Sheet1!F2</f>
        <v>1000</v>
      </c>
      <c r="G2" s="5">
        <f>[1]Sheet1!G2</f>
        <v>1000</v>
      </c>
      <c r="H2" s="5">
        <f>[1]Sheet1!H2</f>
        <v>0</v>
      </c>
    </row>
    <row r="3" spans="1:8" x14ac:dyDescent="0.15">
      <c r="A3" s="5" t="str">
        <f>[1]Sheet1!A3</f>
        <v>衰减器</v>
      </c>
      <c r="B3" s="5" t="str">
        <f>[1]Sheet1!B3</f>
        <v>6dB</v>
      </c>
      <c r="C3" s="5" t="str">
        <f>[1]Sheet1!C3</f>
        <v>Wide Band</v>
      </c>
      <c r="D3" s="5">
        <f>[1]Sheet1!D3</f>
        <v>-6</v>
      </c>
      <c r="E3" s="5">
        <f>[1]Sheet1!E3</f>
        <v>6</v>
      </c>
      <c r="F3" s="5">
        <f>[1]Sheet1!F3</f>
        <v>1000</v>
      </c>
      <c r="G3" s="5">
        <f>[1]Sheet1!G3</f>
        <v>1000</v>
      </c>
      <c r="H3" s="5">
        <f>[1]Sheet1!H3</f>
        <v>0</v>
      </c>
    </row>
    <row r="4" spans="1:8" x14ac:dyDescent="0.15">
      <c r="A4" s="5" t="str">
        <f>[1]Sheet1!A4</f>
        <v>衰减器</v>
      </c>
      <c r="B4" s="5" t="str">
        <f>[1]Sheet1!B4</f>
        <v>5dB</v>
      </c>
      <c r="C4" s="5" t="str">
        <f>[1]Sheet1!C4</f>
        <v>Wide Band</v>
      </c>
      <c r="D4" s="5">
        <f>[1]Sheet1!D4</f>
        <v>-5</v>
      </c>
      <c r="E4" s="5">
        <f>[1]Sheet1!E4</f>
        <v>5</v>
      </c>
      <c r="F4" s="5">
        <f>[1]Sheet1!F4</f>
        <v>1000</v>
      </c>
      <c r="G4" s="5">
        <f>[1]Sheet1!G4</f>
        <v>1000</v>
      </c>
      <c r="H4" s="5">
        <f>[1]Sheet1!H4</f>
        <v>0</v>
      </c>
    </row>
    <row r="5" spans="1:8" x14ac:dyDescent="0.15">
      <c r="A5" s="5" t="str">
        <f>[1]Sheet1!A5</f>
        <v>衰减器</v>
      </c>
      <c r="B5" s="5" t="str">
        <f>[1]Sheet1!B5</f>
        <v>2dB</v>
      </c>
      <c r="C5" s="5" t="str">
        <f>[1]Sheet1!C5</f>
        <v>Wide Band</v>
      </c>
      <c r="D5" s="5">
        <f>[1]Sheet1!D5</f>
        <v>-2</v>
      </c>
      <c r="E5" s="5">
        <f>[1]Sheet1!E5</f>
        <v>2</v>
      </c>
      <c r="F5" s="5">
        <f>[1]Sheet1!F5</f>
        <v>1000</v>
      </c>
      <c r="G5" s="5">
        <f>[1]Sheet1!G5</f>
        <v>1000</v>
      </c>
      <c r="H5" s="5">
        <f>[1]Sheet1!H5</f>
        <v>0</v>
      </c>
    </row>
    <row r="6" spans="1:8" x14ac:dyDescent="0.15">
      <c r="A6" s="5" t="str">
        <f>[1]Sheet1!A6</f>
        <v>衰减器</v>
      </c>
      <c r="B6" s="5" t="str">
        <f>[1]Sheet1!B6</f>
        <v>0Ω</v>
      </c>
      <c r="C6" s="5" t="str">
        <f>[1]Sheet1!C6</f>
        <v>Wide Band</v>
      </c>
      <c r="D6" s="5">
        <f>[1]Sheet1!D6</f>
        <v>0</v>
      </c>
      <c r="E6" s="5">
        <f>[1]Sheet1!E6</f>
        <v>0</v>
      </c>
      <c r="F6" s="5">
        <f>[1]Sheet1!F6</f>
        <v>1000</v>
      </c>
      <c r="G6" s="5">
        <f>[1]Sheet1!G6</f>
        <v>1000</v>
      </c>
      <c r="H6" s="5">
        <f>[1]Sheet1!H6</f>
        <v>0</v>
      </c>
    </row>
    <row r="7" spans="1:8" x14ac:dyDescent="0.15">
      <c r="A7" s="5" t="str">
        <f>[1]Sheet1!A7</f>
        <v>LC滤波器</v>
      </c>
      <c r="B7" s="5" t="str">
        <f>[1]Sheet1!B7</f>
        <v>椭圆滤波器</v>
      </c>
      <c r="C7" s="5" t="str">
        <f>[1]Sheet1!C7</f>
        <v>中频</v>
      </c>
      <c r="D7" s="5">
        <f>[1]Sheet1!D7</f>
        <v>-4</v>
      </c>
      <c r="E7" s="5">
        <f>[1]Sheet1!E7</f>
        <v>4</v>
      </c>
      <c r="F7" s="5">
        <f>[1]Sheet1!F7</f>
        <v>1000</v>
      </c>
      <c r="G7" s="5">
        <f>[1]Sheet1!G7</f>
        <v>1000</v>
      </c>
      <c r="H7" s="5">
        <f>[1]Sheet1!H7</f>
        <v>0</v>
      </c>
    </row>
    <row r="8" spans="1:8" x14ac:dyDescent="0.15">
      <c r="A8" s="5" t="str">
        <f>[1]Sheet1!A8</f>
        <v>LC滤波器</v>
      </c>
      <c r="B8" s="5" t="str">
        <f>[1]Sheet1!B8</f>
        <v>低通滤波器</v>
      </c>
      <c r="C8" s="5" t="str">
        <f>[1]Sheet1!C8</f>
        <v>中频</v>
      </c>
      <c r="D8" s="5">
        <f>[1]Sheet1!D8</f>
        <v>-1</v>
      </c>
      <c r="E8" s="5">
        <f>[1]Sheet1!E8</f>
        <v>1</v>
      </c>
      <c r="F8" s="5">
        <f>[1]Sheet1!F8</f>
        <v>1000</v>
      </c>
      <c r="G8" s="5">
        <f>[1]Sheet1!G8</f>
        <v>1000</v>
      </c>
      <c r="H8" s="5">
        <f>[1]Sheet1!H8</f>
        <v>0</v>
      </c>
    </row>
    <row r="9" spans="1:8" x14ac:dyDescent="0.15">
      <c r="A9" s="5" t="str">
        <f>[1]Sheet1!A9</f>
        <v>Cable</v>
      </c>
      <c r="B9" s="5" t="str">
        <f>[1]Sheet1!B9</f>
        <v>HH70 Pri</v>
      </c>
      <c r="C9" s="5" t="str">
        <f>[1]Sheet1!C9</f>
        <v>1000-2000</v>
      </c>
      <c r="D9" s="5">
        <f>[1]Sheet1!D9</f>
        <v>-1.5</v>
      </c>
      <c r="E9" s="5">
        <f>[1]Sheet1!E9</f>
        <v>1.5</v>
      </c>
      <c r="F9" s="5">
        <f>[1]Sheet1!F9</f>
        <v>1000</v>
      </c>
      <c r="G9" s="5">
        <f>[1]Sheet1!G9</f>
        <v>1000</v>
      </c>
      <c r="H9" s="5">
        <f>[1]Sheet1!H9</f>
        <v>0</v>
      </c>
    </row>
    <row r="10" spans="1:8" x14ac:dyDescent="0.15">
      <c r="A10" s="5" t="str">
        <f>[1]Sheet1!A10</f>
        <v>Cable</v>
      </c>
      <c r="B10" s="5" t="str">
        <f>[1]Sheet1!B10</f>
        <v>HH70 Pri</v>
      </c>
      <c r="C10" s="5" t="str">
        <f>[1]Sheet1!C10</f>
        <v>700-1000</v>
      </c>
      <c r="D10" s="5">
        <f>[1]Sheet1!D10</f>
        <v>-1</v>
      </c>
      <c r="E10" s="5">
        <f>[1]Sheet1!E10</f>
        <v>1</v>
      </c>
      <c r="F10" s="5">
        <f>[1]Sheet1!F10</f>
        <v>1000</v>
      </c>
      <c r="G10" s="5">
        <f>[1]Sheet1!G10</f>
        <v>1000</v>
      </c>
      <c r="H10" s="5">
        <f>[1]Sheet1!H10</f>
        <v>0</v>
      </c>
    </row>
    <row r="11" spans="1:8" x14ac:dyDescent="0.15">
      <c r="A11" s="5" t="str">
        <f>[1]Sheet1!A11</f>
        <v>Cable</v>
      </c>
      <c r="B11" s="5" t="str">
        <f>[1]Sheet1!B11</f>
        <v>HH70 Sec</v>
      </c>
      <c r="C11" s="5" t="str">
        <f>[1]Sheet1!C11</f>
        <v>2110-2170</v>
      </c>
      <c r="D11" s="5">
        <f>[1]Sheet1!D11</f>
        <v>-2.8</v>
      </c>
      <c r="E11" s="5">
        <f>[1]Sheet1!E11</f>
        <v>2.8</v>
      </c>
      <c r="F11" s="5">
        <f>[1]Sheet1!F11</f>
        <v>60</v>
      </c>
      <c r="G11" s="5">
        <f>[1]Sheet1!G11</f>
        <v>60</v>
      </c>
      <c r="H11" s="5">
        <f>[1]Sheet1!H11</f>
        <v>0</v>
      </c>
    </row>
    <row r="12" spans="1:8" x14ac:dyDescent="0.15">
      <c r="A12" s="5" t="str">
        <f>[1]Sheet1!A12</f>
        <v>Cable</v>
      </c>
      <c r="B12" s="5" t="str">
        <f>[1]Sheet1!B12</f>
        <v>HH70 Sec</v>
      </c>
      <c r="C12" s="5" t="str">
        <f>[1]Sheet1!C12</f>
        <v>1.7G-1.9G</v>
      </c>
      <c r="D12" s="5">
        <f>[1]Sheet1!D12</f>
        <v>-2.5</v>
      </c>
      <c r="E12" s="5">
        <f>[1]Sheet1!E12</f>
        <v>2.5</v>
      </c>
      <c r="F12" s="5">
        <f>[1]Sheet1!F12</f>
        <v>60</v>
      </c>
      <c r="G12" s="5">
        <f>[1]Sheet1!G12</f>
        <v>60</v>
      </c>
      <c r="H12" s="5">
        <f>[1]Sheet1!H12</f>
        <v>0</v>
      </c>
    </row>
    <row r="13" spans="1:8" x14ac:dyDescent="0.15">
      <c r="A13" s="5" t="str">
        <f>[1]Sheet1!A13</f>
        <v>Cable</v>
      </c>
      <c r="B13" s="5" t="str">
        <f>[1]Sheet1!B13</f>
        <v>HH70 Sec</v>
      </c>
      <c r="C13" s="5" t="str">
        <f>[1]Sheet1!C13</f>
        <v>700-1000</v>
      </c>
      <c r="D13" s="5">
        <f>[1]Sheet1!D13</f>
        <v>-1</v>
      </c>
      <c r="E13" s="5">
        <f>[1]Sheet1!E13</f>
        <v>1</v>
      </c>
      <c r="F13" s="5">
        <f>[1]Sheet1!F13</f>
        <v>60</v>
      </c>
      <c r="G13" s="5">
        <f>[1]Sheet1!G13</f>
        <v>60</v>
      </c>
      <c r="H13" s="5">
        <f>[1]Sheet1!H13</f>
        <v>0</v>
      </c>
    </row>
    <row r="14" spans="1:8" x14ac:dyDescent="0.15">
      <c r="A14" s="5" t="str">
        <f>[1]Sheet1!A14</f>
        <v>Diplexer</v>
      </c>
      <c r="B14" s="5" t="str">
        <f>[1]Sheet1!B14</f>
        <v xml:space="preserve">(L/MH)DPX252690DT-5032A1 </v>
      </c>
      <c r="C14" s="5" t="str">
        <f>[1]Sheet1!C14</f>
        <v>1710 - 2690</v>
      </c>
      <c r="D14" s="5">
        <f>[1]Sheet1!D14</f>
        <v>-0.55000000000000004</v>
      </c>
      <c r="E14" s="5">
        <f>[1]Sheet1!E14</f>
        <v>0.55000000000000004</v>
      </c>
      <c r="F14" s="5">
        <f>[1]Sheet1!F14</f>
        <v>60</v>
      </c>
      <c r="G14" s="5">
        <f>[1]Sheet1!G14</f>
        <v>60</v>
      </c>
      <c r="H14" s="5">
        <f>[1]Sheet1!H14</f>
        <v>0</v>
      </c>
    </row>
    <row r="15" spans="1:8" x14ac:dyDescent="0.15">
      <c r="A15" s="5" t="str">
        <f>[1]Sheet1!A15</f>
        <v>Diplexer</v>
      </c>
      <c r="B15" s="5" t="str">
        <f>[1]Sheet1!B15</f>
        <v xml:space="preserve">(L/MH)DPX252690DT-5032A1 </v>
      </c>
      <c r="C15" s="5" t="str">
        <f>[1]Sheet1!C15</f>
        <v>699 - 960</v>
      </c>
      <c r="D15" s="5">
        <f>[1]Sheet1!D15</f>
        <v>-0.28999999999999998</v>
      </c>
      <c r="E15" s="5">
        <f>[1]Sheet1!E15</f>
        <v>0.28999999999999998</v>
      </c>
      <c r="F15" s="5">
        <f>[1]Sheet1!F15</f>
        <v>60</v>
      </c>
      <c r="G15" s="5">
        <f>[1]Sheet1!G15</f>
        <v>60</v>
      </c>
      <c r="H15" s="5">
        <f>[1]Sheet1!H15</f>
        <v>0</v>
      </c>
    </row>
    <row r="16" spans="1:8" x14ac:dyDescent="0.15">
      <c r="A16" s="5" t="str">
        <f>[1]Sheet1!A16</f>
        <v>Diplexer</v>
      </c>
      <c r="B16" s="5" t="str">
        <f>[1]Sheet1!B16</f>
        <v>(LM/H)DPX252620DT-5218B1</v>
      </c>
      <c r="C16" s="5" t="str">
        <f>[1]Sheet1!C16</f>
        <v>2110 - 2170</v>
      </c>
      <c r="D16" s="5">
        <f>[1]Sheet1!D16</f>
        <v>-2.09</v>
      </c>
      <c r="E16" s="5">
        <f>[1]Sheet1!E16</f>
        <v>2.09</v>
      </c>
      <c r="F16" s="5">
        <f>[1]Sheet1!F16</f>
        <v>60</v>
      </c>
      <c r="G16" s="5">
        <f>[1]Sheet1!G16</f>
        <v>60</v>
      </c>
      <c r="H16" s="5">
        <f>[1]Sheet1!H16</f>
        <v>0</v>
      </c>
    </row>
    <row r="17" spans="1:8" x14ac:dyDescent="0.15">
      <c r="A17" s="5" t="str">
        <f>[1]Sheet1!A17</f>
        <v>Diplexer</v>
      </c>
      <c r="B17" s="5" t="str">
        <f>[1]Sheet1!B17</f>
        <v>(LM/H)DPX252620DT-5218B1</v>
      </c>
      <c r="C17" s="5" t="str">
        <f>[1]Sheet1!C17</f>
        <v>1710 - 1990</v>
      </c>
      <c r="D17" s="5">
        <f>[1]Sheet1!D17</f>
        <v>-0.94</v>
      </c>
      <c r="E17" s="5">
        <f>[1]Sheet1!E17</f>
        <v>0.94</v>
      </c>
      <c r="F17" s="5">
        <f>[1]Sheet1!F17</f>
        <v>60</v>
      </c>
      <c r="G17" s="5">
        <f>[1]Sheet1!G17</f>
        <v>60</v>
      </c>
      <c r="H17" s="5">
        <f>[1]Sheet1!H17</f>
        <v>0</v>
      </c>
    </row>
    <row r="18" spans="1:8" x14ac:dyDescent="0.15">
      <c r="A18" s="5" t="str">
        <f>[1]Sheet1!A18</f>
        <v>Diplexer</v>
      </c>
      <c r="B18" s="5" t="str">
        <f>[1]Sheet1!B18</f>
        <v>(LM/H)DPX252620DT-5218B1</v>
      </c>
      <c r="C18" s="5" t="str">
        <f>[1]Sheet1!C18</f>
        <v>815 - 960</v>
      </c>
      <c r="D18" s="5">
        <f>[1]Sheet1!D18</f>
        <v>-0.32</v>
      </c>
      <c r="E18" s="5">
        <f>[1]Sheet1!E18</f>
        <v>0.32</v>
      </c>
      <c r="F18" s="5">
        <f>[1]Sheet1!F18</f>
        <v>60</v>
      </c>
      <c r="G18" s="5">
        <f>[1]Sheet1!G18</f>
        <v>60</v>
      </c>
      <c r="H18" s="5">
        <f>[1]Sheet1!H18</f>
        <v>0</v>
      </c>
    </row>
    <row r="19" spans="1:8" x14ac:dyDescent="0.15">
      <c r="A19" s="5" t="str">
        <f>[1]Sheet1!A19</f>
        <v>Duplexer</v>
      </c>
      <c r="B19" s="5" t="str">
        <f>[1]Sheet1!B19</f>
        <v>SAYEY1G95GA0F0A(B1)</v>
      </c>
      <c r="C19" s="5" t="str">
        <f>[1]Sheet1!C19</f>
        <v>2110 - 2170</v>
      </c>
      <c r="D19" s="5">
        <f>[1]Sheet1!D19</f>
        <v>-1.8</v>
      </c>
      <c r="E19" s="5">
        <f>[1]Sheet1!E19</f>
        <v>1.8</v>
      </c>
      <c r="F19" s="5">
        <f>[1]Sheet1!F19</f>
        <v>60</v>
      </c>
      <c r="G19" s="5">
        <f>[1]Sheet1!G19</f>
        <v>60</v>
      </c>
      <c r="H19" s="5" t="str">
        <f>[1]Sheet1!H19</f>
        <v>B1</v>
      </c>
    </row>
    <row r="20" spans="1:8" x14ac:dyDescent="0.15">
      <c r="A20" s="5" t="str">
        <f>[1]Sheet1!A20</f>
        <v>Duplexer</v>
      </c>
      <c r="B20" s="5" t="str">
        <f>[1]Sheet1!B20</f>
        <v>SAYEY1G74BC0B0A(B3)</v>
      </c>
      <c r="C20" s="5" t="str">
        <f>[1]Sheet1!C20</f>
        <v>1805 - 1880</v>
      </c>
      <c r="D20" s="5">
        <f>[1]Sheet1!D20</f>
        <v>-2.4</v>
      </c>
      <c r="E20" s="5">
        <f>[1]Sheet1!E20</f>
        <v>2.4</v>
      </c>
      <c r="F20" s="5">
        <f>[1]Sheet1!F20</f>
        <v>60</v>
      </c>
      <c r="G20" s="5">
        <f>[1]Sheet1!G20</f>
        <v>60</v>
      </c>
      <c r="H20" s="5" t="str">
        <f>[1]Sheet1!H20</f>
        <v>B3</v>
      </c>
    </row>
    <row r="21" spans="1:8" x14ac:dyDescent="0.15">
      <c r="A21" s="5" t="str">
        <f>[1]Sheet1!A21</f>
        <v>Duplexer</v>
      </c>
      <c r="B21" s="5" t="str">
        <f>[1]Sheet1!B21</f>
        <v>SFX836CYA02(B5)</v>
      </c>
      <c r="C21" s="5" t="str">
        <f>[1]Sheet1!C21</f>
        <v>869-894</v>
      </c>
      <c r="D21" s="5">
        <f>[1]Sheet1!D21</f>
        <v>-1.7</v>
      </c>
      <c r="E21" s="5">
        <f>[1]Sheet1!E21</f>
        <v>1.7</v>
      </c>
      <c r="F21" s="5">
        <f>[1]Sheet1!F21</f>
        <v>60</v>
      </c>
      <c r="G21" s="5">
        <f>[1]Sheet1!G21</f>
        <v>60</v>
      </c>
      <c r="H21" s="5" t="str">
        <f>[1]Sheet1!H21</f>
        <v>B5</v>
      </c>
    </row>
    <row r="22" spans="1:8" x14ac:dyDescent="0.15">
      <c r="A22" s="5" t="str">
        <f>[1]Sheet1!A22</f>
        <v>Duplexer</v>
      </c>
      <c r="B22" s="5" t="str">
        <f>[1]Sheet1!B22</f>
        <v>SAYEY2G53BC0F0A(B7)</v>
      </c>
      <c r="C22" s="5" t="str">
        <f>[1]Sheet1!C22</f>
        <v>2500-2570(TX)</v>
      </c>
      <c r="D22" s="5">
        <f>[1]Sheet1!D22</f>
        <v>-2.2000000000000002</v>
      </c>
      <c r="E22" s="5">
        <f>[1]Sheet1!E22</f>
        <v>2.2000000000000002</v>
      </c>
      <c r="F22" s="5">
        <f>[1]Sheet1!F22</f>
        <v>60</v>
      </c>
      <c r="G22" s="5">
        <f>[1]Sheet1!G22</f>
        <v>60</v>
      </c>
      <c r="H22" s="5">
        <f>[1]Sheet1!H22</f>
        <v>0</v>
      </c>
    </row>
    <row r="23" spans="1:8" x14ac:dyDescent="0.15">
      <c r="A23" s="5" t="str">
        <f>[1]Sheet1!A23</f>
        <v>Duplexer</v>
      </c>
      <c r="B23" s="5" t="str">
        <f>[1]Sheet1!B23</f>
        <v>SAYEY2G53BC0F0A(B7)</v>
      </c>
      <c r="C23" s="5" t="str">
        <f>[1]Sheet1!C23</f>
        <v>2620-2690(RX)</v>
      </c>
      <c r="D23" s="5">
        <f>[1]Sheet1!D23</f>
        <v>-2</v>
      </c>
      <c r="E23" s="5">
        <f>[1]Sheet1!E23</f>
        <v>2</v>
      </c>
      <c r="F23" s="5">
        <f>[1]Sheet1!F23</f>
        <v>60</v>
      </c>
      <c r="G23" s="5">
        <f>[1]Sheet1!G23</f>
        <v>60</v>
      </c>
      <c r="H23" s="5">
        <f>[1]Sheet1!H23</f>
        <v>0</v>
      </c>
    </row>
    <row r="24" spans="1:8" x14ac:dyDescent="0.15">
      <c r="A24" s="5" t="str">
        <f>[1]Sheet1!A24</f>
        <v>Duplexer</v>
      </c>
      <c r="B24" s="5" t="str">
        <f>[1]Sheet1!B24</f>
        <v>SAYEY2G53BA0F0A(B7)</v>
      </c>
      <c r="C24" s="5" t="str">
        <f>[1]Sheet1!C24</f>
        <v>2620-2690(RX)</v>
      </c>
      <c r="D24" s="5">
        <f>[1]Sheet1!D24</f>
        <v>-2.1</v>
      </c>
      <c r="E24" s="5">
        <f>[1]Sheet1!E24</f>
        <v>2.1</v>
      </c>
      <c r="F24" s="5">
        <f>[1]Sheet1!F24</f>
        <v>60</v>
      </c>
      <c r="G24" s="5">
        <f>[1]Sheet1!G24</f>
        <v>60</v>
      </c>
      <c r="H24" s="5">
        <f>[1]Sheet1!H24</f>
        <v>0</v>
      </c>
    </row>
    <row r="25" spans="1:8" x14ac:dyDescent="0.15">
      <c r="A25" s="5" t="str">
        <f>[1]Sheet1!A25</f>
        <v>Duplexer</v>
      </c>
      <c r="B25" s="5" t="str">
        <f>[1]Sheet1!B25</f>
        <v>SAYEY897MBG0F0A(B8)</v>
      </c>
      <c r="C25" s="5" t="str">
        <f>[1]Sheet1!C25</f>
        <v>927.5 - 957.5</v>
      </c>
      <c r="D25" s="5">
        <f>[1]Sheet1!D25</f>
        <v>-2</v>
      </c>
      <c r="E25" s="5">
        <f>[1]Sheet1!E25</f>
        <v>2</v>
      </c>
      <c r="F25" s="5">
        <f>[1]Sheet1!F25</f>
        <v>60</v>
      </c>
      <c r="G25" s="5">
        <f>[1]Sheet1!G25</f>
        <v>60</v>
      </c>
      <c r="H25" s="5" t="str">
        <f>[1]Sheet1!H25</f>
        <v>B8</v>
      </c>
    </row>
    <row r="26" spans="1:8" x14ac:dyDescent="0.15">
      <c r="A26" s="5" t="str">
        <f>[1]Sheet1!A26</f>
        <v>Duplexer</v>
      </c>
      <c r="B26" s="5" t="str">
        <f>[1]Sheet1!B26</f>
        <v>SAYEY897MBA0B0A(B8)</v>
      </c>
      <c r="C26" s="5" t="str">
        <f>[1]Sheet1!C26</f>
        <v>925-960</v>
      </c>
      <c r="D26" s="5">
        <f>[1]Sheet1!D26</f>
        <v>-2.5</v>
      </c>
      <c r="E26" s="5">
        <f>[1]Sheet1!E26</f>
        <v>2.5</v>
      </c>
      <c r="F26" s="5">
        <f>[1]Sheet1!F26</f>
        <v>60</v>
      </c>
      <c r="G26" s="5">
        <f>[1]Sheet1!G26</f>
        <v>60</v>
      </c>
      <c r="H26" s="5">
        <f>[1]Sheet1!H26</f>
        <v>0</v>
      </c>
    </row>
    <row r="27" spans="1:8" x14ac:dyDescent="0.15">
      <c r="A27" s="5" t="str">
        <f>[1]Sheet1!A27</f>
        <v>Duplexer</v>
      </c>
      <c r="B27" s="5" t="str">
        <f>[1]Sheet1!B27</f>
        <v>SAYEY806MBA0F0A(B20)</v>
      </c>
      <c r="C27" s="5" t="str">
        <f>[1]Sheet1!C27</f>
        <v>790-820</v>
      </c>
      <c r="D27" s="5">
        <f>[1]Sheet1!D27</f>
        <v>-2.5</v>
      </c>
      <c r="E27" s="5">
        <f>[1]Sheet1!E27</f>
        <v>2.5</v>
      </c>
      <c r="F27" s="5">
        <f>[1]Sheet1!F27</f>
        <v>60</v>
      </c>
      <c r="G27" s="5">
        <f>[1]Sheet1!G27</f>
        <v>60</v>
      </c>
      <c r="H27" s="5">
        <f>[1]Sheet1!H27</f>
        <v>0</v>
      </c>
    </row>
    <row r="28" spans="1:8" x14ac:dyDescent="0.15">
      <c r="A28" s="5" t="str">
        <f>[1]Sheet1!A28</f>
        <v>Duplexer</v>
      </c>
      <c r="B28" s="5" t="str">
        <f>[1]Sheet1!B28</f>
        <v>SAYEY806MBC0F0A(B20)</v>
      </c>
      <c r="C28" s="5" t="str">
        <f>[1]Sheet1!C28</f>
        <v>791.25-802.75</v>
      </c>
      <c r="D28" s="5">
        <f>[1]Sheet1!D28</f>
        <v>-2.7</v>
      </c>
      <c r="E28" s="5">
        <f>[1]Sheet1!E28</f>
        <v>2.7</v>
      </c>
      <c r="F28" s="5">
        <f>[1]Sheet1!F28</f>
        <v>60</v>
      </c>
      <c r="G28" s="5">
        <f>[1]Sheet1!G28</f>
        <v>60</v>
      </c>
      <c r="H28" s="5">
        <f>[1]Sheet1!H28</f>
        <v>0</v>
      </c>
    </row>
    <row r="29" spans="1:8" x14ac:dyDescent="0.15">
      <c r="A29" s="5" t="str">
        <f>[1]Sheet1!A29</f>
        <v>Duplexer</v>
      </c>
      <c r="B29" s="5" t="str">
        <f>[1]Sheet1!B29</f>
        <v>SFX718BYJ02(B28A)</v>
      </c>
      <c r="C29" s="5" t="str">
        <f>[1]Sheet1!C29</f>
        <v>758.24~787.76</v>
      </c>
      <c r="D29" s="5">
        <f>[1]Sheet1!D29</f>
        <v>-2</v>
      </c>
      <c r="E29" s="5">
        <f>[1]Sheet1!E29</f>
        <v>2</v>
      </c>
      <c r="F29" s="5">
        <f>[1]Sheet1!F29</f>
        <v>60</v>
      </c>
      <c r="G29" s="5">
        <f>[1]Sheet1!G29</f>
        <v>60</v>
      </c>
      <c r="H29" s="5" t="str">
        <f>[1]Sheet1!H29</f>
        <v>B28A</v>
      </c>
    </row>
    <row r="30" spans="1:8" x14ac:dyDescent="0.15">
      <c r="A30" s="5" t="str">
        <f>[1]Sheet1!A30</f>
        <v>Duplexer</v>
      </c>
      <c r="B30" s="5" t="str">
        <f>[1]Sheet1!B30</f>
        <v>SFX733BYJ02(B28B)</v>
      </c>
      <c r="C30" s="5" t="str">
        <f>[1]Sheet1!C30</f>
        <v>773.24-802.76</v>
      </c>
      <c r="D30" s="5">
        <f>[1]Sheet1!D30</f>
        <v>-1.9</v>
      </c>
      <c r="E30" s="5">
        <f>[1]Sheet1!E30</f>
        <v>1.9</v>
      </c>
      <c r="F30" s="5">
        <f>[1]Sheet1!F30</f>
        <v>60</v>
      </c>
      <c r="G30" s="5">
        <f>[1]Sheet1!G30</f>
        <v>60</v>
      </c>
      <c r="H30" s="5" t="str">
        <f>[1]Sheet1!H30</f>
        <v>B28B</v>
      </c>
    </row>
    <row r="31" spans="1:8" x14ac:dyDescent="0.15">
      <c r="A31" s="5" t="str">
        <f>[1]Sheet1!A31</f>
        <v>balun</v>
      </c>
      <c r="B31" s="5" t="str">
        <f>[1]Sheet1!B31</f>
        <v>LDM182G4502XA012TEMP</v>
      </c>
      <c r="C31" s="5" t="str">
        <f>[1]Sheet1!C31</f>
        <v>2.4G</v>
      </c>
      <c r="D31" s="5">
        <f>[1]Sheet1!D31</f>
        <v>-0.61</v>
      </c>
      <c r="E31" s="5">
        <f>[1]Sheet1!E31</f>
        <v>0.61</v>
      </c>
      <c r="F31" s="5">
        <f>[1]Sheet1!F31</f>
        <v>60</v>
      </c>
      <c r="G31" s="5">
        <f>[1]Sheet1!G31</f>
        <v>60</v>
      </c>
      <c r="H31" s="5">
        <f>[1]Sheet1!H31</f>
        <v>0</v>
      </c>
    </row>
    <row r="32" spans="1:8" x14ac:dyDescent="0.15">
      <c r="A32" s="5" t="str">
        <f>[1]Sheet1!A32</f>
        <v>Trace loss</v>
      </c>
      <c r="B32" s="5" t="str">
        <f>[1]Sheet1!B32</f>
        <v>est.</v>
      </c>
      <c r="C32" s="5" t="str">
        <f>[1]Sheet1!C32</f>
        <v>700-1000</v>
      </c>
      <c r="D32" s="5">
        <f>[1]Sheet1!D32</f>
        <v>-0.5</v>
      </c>
      <c r="E32" s="5">
        <f>[1]Sheet1!E32</f>
        <v>0.5</v>
      </c>
      <c r="F32" s="5">
        <f>[1]Sheet1!F32</f>
        <v>60</v>
      </c>
      <c r="G32" s="5">
        <f>[1]Sheet1!G32</f>
        <v>60</v>
      </c>
      <c r="H32" s="5">
        <f>[1]Sheet1!H32</f>
        <v>0</v>
      </c>
    </row>
    <row r="33" spans="1:8" x14ac:dyDescent="0.15">
      <c r="A33" s="5" t="str">
        <f>[1]Sheet1!A33</f>
        <v>Trace loss</v>
      </c>
      <c r="B33" s="5" t="str">
        <f>[1]Sheet1!B33</f>
        <v>est.</v>
      </c>
      <c r="C33" s="5" t="str">
        <f>[1]Sheet1!C33</f>
        <v>1700-2200</v>
      </c>
      <c r="D33" s="5">
        <f>[1]Sheet1!D33</f>
        <v>-0.8</v>
      </c>
      <c r="E33" s="5">
        <f>[1]Sheet1!E33</f>
        <v>0.8</v>
      </c>
      <c r="F33" s="5">
        <f>[1]Sheet1!F33</f>
        <v>0</v>
      </c>
      <c r="G33" s="5">
        <f>[1]Sheet1!G33</f>
        <v>0</v>
      </c>
      <c r="H33" s="5">
        <f>[1]Sheet1!H33</f>
        <v>0</v>
      </c>
    </row>
    <row r="34" spans="1:8" x14ac:dyDescent="0.15">
      <c r="A34" s="5" t="str">
        <f>[1]Sheet1!A34</f>
        <v>Trace loss</v>
      </c>
      <c r="B34" s="5" t="str">
        <f>[1]Sheet1!B34</f>
        <v>est.</v>
      </c>
      <c r="C34" s="5" t="str">
        <f>[1]Sheet1!C34</f>
        <v>2400-2700</v>
      </c>
      <c r="D34" s="5">
        <f>[1]Sheet1!D34</f>
        <v>-1.1000000000000001</v>
      </c>
      <c r="E34" s="5">
        <f>[1]Sheet1!E34</f>
        <v>1.1000000000000001</v>
      </c>
      <c r="F34" s="5">
        <f>[1]Sheet1!F34</f>
        <v>60</v>
      </c>
      <c r="G34" s="5">
        <f>[1]Sheet1!G34</f>
        <v>60</v>
      </c>
      <c r="H34" s="5">
        <f>[1]Sheet1!H34</f>
        <v>0</v>
      </c>
    </row>
    <row r="35" spans="1:8" x14ac:dyDescent="0.15">
      <c r="A35" s="5" t="str">
        <f>[1]Sheet1!A35</f>
        <v>Tranceiver</v>
      </c>
      <c r="B35" s="5" t="str">
        <f>[1]Sheet1!B35</f>
        <v>WTR3925</v>
      </c>
      <c r="C35" s="5" t="str">
        <f>[1]Sheet1!C35</f>
        <v>LTE(LB)</v>
      </c>
      <c r="D35" s="5">
        <f>[1]Sheet1!D35</f>
        <v>56</v>
      </c>
      <c r="E35" s="5">
        <f>[1]Sheet1!E35</f>
        <v>2.2999999999999998</v>
      </c>
      <c r="F35" s="5">
        <f>[1]Sheet1!F35</f>
        <v>60</v>
      </c>
      <c r="G35" s="5">
        <f>[1]Sheet1!G35</f>
        <v>60</v>
      </c>
      <c r="H35" s="5">
        <f>[1]Sheet1!H35</f>
        <v>0</v>
      </c>
    </row>
    <row r="36" spans="1:8" x14ac:dyDescent="0.15">
      <c r="A36" s="5" t="str">
        <f>[1]Sheet1!A36</f>
        <v>Tranceiver</v>
      </c>
      <c r="B36" s="5" t="str">
        <f>[1]Sheet1!B36</f>
        <v>WTR3925</v>
      </c>
      <c r="C36" s="5" t="str">
        <f>[1]Sheet1!C36</f>
        <v>LTE(MB)</v>
      </c>
      <c r="D36" s="5">
        <f>[1]Sheet1!D36</f>
        <v>56</v>
      </c>
      <c r="E36" s="5">
        <f>[1]Sheet1!E36</f>
        <v>2.7</v>
      </c>
      <c r="F36" s="5">
        <f>[1]Sheet1!F36</f>
        <v>60</v>
      </c>
      <c r="G36" s="5">
        <f>[1]Sheet1!G36</f>
        <v>60</v>
      </c>
      <c r="H36" s="5">
        <f>[1]Sheet1!H36</f>
        <v>0</v>
      </c>
    </row>
    <row r="37" spans="1:8" x14ac:dyDescent="0.15">
      <c r="A37" s="5" t="str">
        <f>[1]Sheet1!A37</f>
        <v>Tranceiver</v>
      </c>
      <c r="B37" s="5" t="str">
        <f>[1]Sheet1!B37</f>
        <v>WTR3925</v>
      </c>
      <c r="C37" s="5" t="str">
        <f>[1]Sheet1!C37</f>
        <v>LTE(HB)</v>
      </c>
      <c r="D37" s="5">
        <f>[1]Sheet1!D37</f>
        <v>56</v>
      </c>
      <c r="E37" s="5">
        <f>[1]Sheet1!E37</f>
        <v>3</v>
      </c>
      <c r="F37" s="5">
        <f>[1]Sheet1!F37</f>
        <v>60</v>
      </c>
      <c r="G37" s="5">
        <f>[1]Sheet1!G37</f>
        <v>60</v>
      </c>
      <c r="H37" s="5">
        <f>[1]Sheet1!H37</f>
        <v>0</v>
      </c>
    </row>
    <row r="38" spans="1:8" x14ac:dyDescent="0.15">
      <c r="A38" s="5" t="str">
        <f>[1]Sheet1!A38</f>
        <v>Tranceiver</v>
      </c>
      <c r="B38" s="5" t="str">
        <f>[1]Sheet1!B38</f>
        <v>WTR2965</v>
      </c>
      <c r="C38" s="5" t="str">
        <f>[1]Sheet1!C38</f>
        <v>LTE(LB)</v>
      </c>
      <c r="D38" s="5">
        <f>[1]Sheet1!D38</f>
        <v>56</v>
      </c>
      <c r="E38" s="5">
        <f>[1]Sheet1!E38</f>
        <v>2.2999999999999998</v>
      </c>
      <c r="F38" s="5">
        <f>[1]Sheet1!F38</f>
        <v>60</v>
      </c>
      <c r="G38" s="5">
        <f>[1]Sheet1!G38</f>
        <v>60</v>
      </c>
      <c r="H38" s="5">
        <f>[1]Sheet1!H38</f>
        <v>0</v>
      </c>
    </row>
    <row r="39" spans="1:8" x14ac:dyDescent="0.15">
      <c r="A39" s="5" t="str">
        <f>[1]Sheet1!A39</f>
        <v>Tranceiver</v>
      </c>
      <c r="B39" s="5" t="str">
        <f>[1]Sheet1!B39</f>
        <v>WTR2965</v>
      </c>
      <c r="C39" s="5" t="str">
        <f>[1]Sheet1!C39</f>
        <v>LTE(MB)</v>
      </c>
      <c r="D39" s="5">
        <f>[1]Sheet1!D39</f>
        <v>56</v>
      </c>
      <c r="E39" s="5">
        <f>[1]Sheet1!E39</f>
        <v>2.7</v>
      </c>
      <c r="F39" s="5">
        <f>[1]Sheet1!F39</f>
        <v>60</v>
      </c>
      <c r="G39" s="5">
        <f>[1]Sheet1!G39</f>
        <v>60</v>
      </c>
      <c r="H39" s="5">
        <f>[1]Sheet1!H39</f>
        <v>0</v>
      </c>
    </row>
    <row r="40" spans="1:8" x14ac:dyDescent="0.15">
      <c r="A40" s="5" t="str">
        <f>[1]Sheet1!A40</f>
        <v>Tranceiver</v>
      </c>
      <c r="B40" s="5" t="str">
        <f>[1]Sheet1!B40</f>
        <v>WTR2965</v>
      </c>
      <c r="C40" s="5" t="str">
        <f>[1]Sheet1!C40</f>
        <v>LTE(HB)</v>
      </c>
      <c r="D40" s="5">
        <f>[1]Sheet1!D40</f>
        <v>56</v>
      </c>
      <c r="E40" s="5">
        <f>[1]Sheet1!E40</f>
        <v>3</v>
      </c>
      <c r="F40" s="5">
        <f>[1]Sheet1!F40</f>
        <v>60</v>
      </c>
      <c r="G40" s="5">
        <f>[1]Sheet1!G40</f>
        <v>60</v>
      </c>
      <c r="H40" s="5">
        <f>[1]Sheet1!H40</f>
        <v>0</v>
      </c>
    </row>
    <row r="41" spans="1:8" x14ac:dyDescent="0.15">
      <c r="A41" s="5" t="str">
        <f>[1]Sheet1!A41</f>
        <v>Filter</v>
      </c>
      <c r="B41" s="5" t="str">
        <f>[1]Sheet1!B41</f>
        <v>B39212-B9876-P810(B1)</v>
      </c>
      <c r="C41" s="5" t="str">
        <f>[1]Sheet1!C41</f>
        <v>2110 - 2170</v>
      </c>
      <c r="D41" s="5">
        <f>[1]Sheet1!D41</f>
        <v>-1.6</v>
      </c>
      <c r="E41" s="5">
        <f>[1]Sheet1!E41</f>
        <v>1.6</v>
      </c>
      <c r="F41" s="5">
        <f>[1]Sheet1!F41</f>
        <v>60</v>
      </c>
      <c r="G41" s="5">
        <f>[1]Sheet1!G41</f>
        <v>60</v>
      </c>
      <c r="H41" s="5">
        <f>[1]Sheet1!H41</f>
        <v>0</v>
      </c>
    </row>
    <row r="42" spans="1:8" x14ac:dyDescent="0.15">
      <c r="A42" s="5" t="str">
        <f>[1]Sheet1!A42</f>
        <v>Filter</v>
      </c>
      <c r="B42" s="5" t="str">
        <f>[1]Sheet1!B42</f>
        <v>SAFFB1G84AB0F0A(B3)</v>
      </c>
      <c r="C42" s="5" t="str">
        <f>[1]Sheet1!C42</f>
        <v>1805 - 1880</v>
      </c>
      <c r="D42" s="5">
        <f>[1]Sheet1!D42</f>
        <v>-1.7</v>
      </c>
      <c r="E42" s="5">
        <f>[1]Sheet1!E42</f>
        <v>1.7</v>
      </c>
      <c r="F42" s="5">
        <f>[1]Sheet1!F42</f>
        <v>60</v>
      </c>
      <c r="G42" s="5">
        <f>[1]Sheet1!G42</f>
        <v>60</v>
      </c>
      <c r="H42" s="5">
        <f>[1]Sheet1!H42</f>
        <v>0</v>
      </c>
    </row>
    <row r="43" spans="1:8" x14ac:dyDescent="0.15">
      <c r="A43" s="5" t="str">
        <f>[1]Sheet1!A43</f>
        <v>Filter</v>
      </c>
      <c r="B43" s="5" t="str">
        <f>[1]Sheet1!B43</f>
        <v>SAFFB881MAN0F0AR15(B5)</v>
      </c>
      <c r="C43" s="5" t="str">
        <f>[1]Sheet1!C43</f>
        <v>871-892</v>
      </c>
      <c r="D43" s="5">
        <f>[1]Sheet1!D43</f>
        <v>-1.4</v>
      </c>
      <c r="E43" s="5">
        <f>[1]Sheet1!E43</f>
        <v>1.4</v>
      </c>
      <c r="F43" s="5">
        <f>[1]Sheet1!F43</f>
        <v>60</v>
      </c>
      <c r="G43" s="5">
        <f>[1]Sheet1!G43</f>
        <v>60</v>
      </c>
      <c r="H43" s="5">
        <f>[1]Sheet1!H43</f>
        <v>0</v>
      </c>
    </row>
    <row r="44" spans="1:8" x14ac:dyDescent="0.15">
      <c r="A44" s="5" t="str">
        <f>[1]Sheet1!A44</f>
        <v>Filter</v>
      </c>
      <c r="B44" s="5" t="str">
        <f>[1]Sheet1!B44</f>
        <v>SFHG56BA002(B7)</v>
      </c>
      <c r="C44" s="5" t="str">
        <f>[1]Sheet1!C44</f>
        <v>2620-2690</v>
      </c>
      <c r="D44" s="5">
        <f>[1]Sheet1!D44</f>
        <v>-1.85</v>
      </c>
      <c r="E44" s="5">
        <f>[1]Sheet1!E44</f>
        <v>1.85</v>
      </c>
      <c r="F44" s="5">
        <f>[1]Sheet1!F44</f>
        <v>60</v>
      </c>
      <c r="G44" s="5">
        <f>[1]Sheet1!G44</f>
        <v>60</v>
      </c>
      <c r="H44" s="5">
        <f>[1]Sheet1!H44</f>
        <v>0</v>
      </c>
    </row>
    <row r="45" spans="1:8" x14ac:dyDescent="0.15">
      <c r="A45" s="5" t="str">
        <f>[1]Sheet1!A45</f>
        <v>Filter</v>
      </c>
      <c r="B45" s="5" t="str">
        <f>[1]Sheet1!B45</f>
        <v>SAFFB2G65AA0F0A(B7)</v>
      </c>
      <c r="C45" s="5" t="str">
        <f>[1]Sheet1!C45</f>
        <v>2620-2690</v>
      </c>
      <c r="D45" s="5">
        <f>[1]Sheet1!D45</f>
        <v>-1.8</v>
      </c>
      <c r="E45" s="5">
        <f>[1]Sheet1!E45</f>
        <v>1.8</v>
      </c>
      <c r="F45" s="5">
        <f>[1]Sheet1!F45</f>
        <v>60</v>
      </c>
      <c r="G45" s="5">
        <f>[1]Sheet1!G45</f>
        <v>60</v>
      </c>
      <c r="H45" s="5">
        <f>[1]Sheet1!H45</f>
        <v>0</v>
      </c>
    </row>
    <row r="46" spans="1:8" x14ac:dyDescent="0.15">
      <c r="A46" s="5" t="str">
        <f>[1]Sheet1!A46</f>
        <v>Filter</v>
      </c>
      <c r="B46" s="5" t="str">
        <f>[1]Sheet1!B46</f>
        <v>SAFFB942MAN0F0A(B8)</v>
      </c>
      <c r="C46" s="5" t="str">
        <f>[1]Sheet1!C46</f>
        <v>925-960</v>
      </c>
      <c r="D46" s="5">
        <f>[1]Sheet1!D46</f>
        <v>-2</v>
      </c>
      <c r="E46" s="5">
        <f>[1]Sheet1!E46</f>
        <v>2</v>
      </c>
      <c r="F46" s="5">
        <f>[1]Sheet1!F46</f>
        <v>60</v>
      </c>
      <c r="G46" s="5">
        <f>[1]Sheet1!G46</f>
        <v>60</v>
      </c>
      <c r="H46" s="5">
        <f>[1]Sheet1!H46</f>
        <v>0</v>
      </c>
    </row>
    <row r="47" spans="1:8" x14ac:dyDescent="0.15">
      <c r="A47" s="5" t="str">
        <f>[1]Sheet1!A47</f>
        <v>Filter</v>
      </c>
      <c r="B47" s="5" t="str">
        <f>[1]Sheet1!B47</f>
        <v>SFH806BA002(B20)</v>
      </c>
      <c r="C47" s="5" t="str">
        <f>[1]Sheet1!C47</f>
        <v>791-821</v>
      </c>
      <c r="D47" s="5">
        <f>[1]Sheet1!D47</f>
        <v>-2.2000000000000002</v>
      </c>
      <c r="E47" s="5">
        <f>[1]Sheet1!E47</f>
        <v>2.2000000000000002</v>
      </c>
      <c r="F47" s="5">
        <f>[1]Sheet1!F47</f>
        <v>60</v>
      </c>
      <c r="G47" s="5">
        <f>[1]Sheet1!G47</f>
        <v>60</v>
      </c>
      <c r="H47" s="5">
        <f>[1]Sheet1!H47</f>
        <v>0</v>
      </c>
    </row>
    <row r="48" spans="1:8" x14ac:dyDescent="0.15">
      <c r="A48" s="5" t="str">
        <f>[1]Sheet1!A48</f>
        <v>Filter</v>
      </c>
      <c r="B48" s="5" t="str">
        <f>[1]Sheet1!B48</f>
        <v>SAFFB806MAA0F0A(B20)</v>
      </c>
      <c r="C48" s="5" t="str">
        <f>[1]Sheet1!C48</f>
        <v>791-8121</v>
      </c>
      <c r="D48" s="5">
        <f>[1]Sheet1!D48</f>
        <v>-2.2000000000000002</v>
      </c>
      <c r="E48" s="5">
        <f>[1]Sheet1!E48</f>
        <v>2.2000000000000002</v>
      </c>
      <c r="F48" s="5">
        <f>[1]Sheet1!F48</f>
        <v>60</v>
      </c>
      <c r="G48" s="5">
        <f>[1]Sheet1!G48</f>
        <v>60</v>
      </c>
      <c r="H48" s="5">
        <f>[1]Sheet1!H48</f>
        <v>0</v>
      </c>
    </row>
    <row r="49" spans="1:10" x14ac:dyDescent="0.15">
      <c r="A49" s="5" t="str">
        <f>[1]Sheet1!A49</f>
        <v>Filter</v>
      </c>
      <c r="B49" s="5" t="str">
        <f>[1]Sheet1!B49</f>
        <v>SFH773AA002(B28A)</v>
      </c>
      <c r="C49" s="5" t="str">
        <f>[1]Sheet1!C49</f>
        <v xml:space="preserve">758-788 </v>
      </c>
      <c r="D49" s="5">
        <f>[1]Sheet1!D49</f>
        <v>-2</v>
      </c>
      <c r="E49" s="5">
        <f>[1]Sheet1!E49</f>
        <v>2</v>
      </c>
      <c r="F49" s="5">
        <f>[1]Sheet1!F49</f>
        <v>60</v>
      </c>
      <c r="G49" s="5">
        <f>[1]Sheet1!G49</f>
        <v>60</v>
      </c>
      <c r="H49" s="5">
        <f>[1]Sheet1!H49</f>
        <v>0</v>
      </c>
    </row>
    <row r="50" spans="1:10" x14ac:dyDescent="0.15">
      <c r="A50" s="5" t="str">
        <f>[1]Sheet1!A50</f>
        <v>Filter</v>
      </c>
      <c r="B50" s="5" t="str">
        <f>[1]Sheet1!B50</f>
        <v>SFH788AA002(B28B)</v>
      </c>
      <c r="C50" s="5" t="str">
        <f>[1]Sheet1!C50</f>
        <v>773-803</v>
      </c>
      <c r="D50" s="5">
        <f>[1]Sheet1!D50</f>
        <v>-1.9</v>
      </c>
      <c r="E50" s="5">
        <f>[1]Sheet1!E50</f>
        <v>1.9</v>
      </c>
      <c r="F50" s="5">
        <f>[1]Sheet1!F50</f>
        <v>60</v>
      </c>
      <c r="G50" s="5">
        <f>[1]Sheet1!G50</f>
        <v>60</v>
      </c>
      <c r="H50" s="5">
        <f>[1]Sheet1!H50</f>
        <v>0</v>
      </c>
    </row>
    <row r="51" spans="1:10" x14ac:dyDescent="0.15">
      <c r="A51" s="5" t="str">
        <f>[1]Sheet1!A51</f>
        <v>Filter</v>
      </c>
      <c r="B51" s="5" t="str">
        <f>[1]Sheet1!B51</f>
        <v>SAFFB2G59AA0F0A(B38RX)</v>
      </c>
      <c r="C51" s="5" t="str">
        <f>[1]Sheet1!C51</f>
        <v>2570-2620</v>
      </c>
      <c r="D51" s="5">
        <f>[1]Sheet1!D51</f>
        <v>-1.5</v>
      </c>
      <c r="E51" s="5">
        <f>[1]Sheet1!E51</f>
        <v>1.5</v>
      </c>
      <c r="F51" s="5">
        <f>[1]Sheet1!F51</f>
        <v>60</v>
      </c>
      <c r="G51" s="5">
        <f>[1]Sheet1!G51</f>
        <v>60</v>
      </c>
      <c r="H51" s="5">
        <f>[1]Sheet1!H51</f>
        <v>0</v>
      </c>
    </row>
    <row r="52" spans="1:10" x14ac:dyDescent="0.15">
      <c r="A52" s="5" t="str">
        <f>[1]Sheet1!A52</f>
        <v>Filter</v>
      </c>
      <c r="B52" s="5" t="str">
        <f>[1]Sheet1!B52</f>
        <v>SAFFB2G35AA0F0A(B40RX)</v>
      </c>
      <c r="C52" s="5" t="str">
        <f>[1]Sheet1!C52</f>
        <v>2300-2400</v>
      </c>
      <c r="D52" s="5">
        <f>[1]Sheet1!D52</f>
        <v>-2.5</v>
      </c>
      <c r="E52" s="5">
        <f>[1]Sheet1!E52</f>
        <v>2.5</v>
      </c>
      <c r="F52" s="5">
        <f>[1]Sheet1!F52</f>
        <v>60</v>
      </c>
      <c r="G52" s="5">
        <f>[1]Sheet1!G52</f>
        <v>60</v>
      </c>
      <c r="H52" s="5">
        <f>[1]Sheet1!H52</f>
        <v>0</v>
      </c>
      <c r="J52" s="79"/>
    </row>
    <row r="53" spans="1:10" x14ac:dyDescent="0.15">
      <c r="A53" s="5" t="str">
        <f>[1]Sheet1!A53</f>
        <v>Filter</v>
      </c>
      <c r="B53" s="5" t="str">
        <f>[1]Sheet1!B53</f>
        <v>SAFEA2G35MC0F0A(B40TX)</v>
      </c>
      <c r="C53" s="5" t="str">
        <f>[1]Sheet1!C53</f>
        <v>2300-2400</v>
      </c>
      <c r="D53" s="5">
        <f>[1]Sheet1!D53</f>
        <v>-2.8</v>
      </c>
      <c r="E53" s="5">
        <f>[1]Sheet1!E53</f>
        <v>2.8</v>
      </c>
      <c r="F53" s="5">
        <f>[1]Sheet1!F53</f>
        <v>60</v>
      </c>
      <c r="G53" s="5">
        <f>[1]Sheet1!G53</f>
        <v>60</v>
      </c>
      <c r="H53" s="5">
        <f>[1]Sheet1!H53</f>
        <v>0</v>
      </c>
    </row>
    <row r="54" spans="1:10" x14ac:dyDescent="0.15">
      <c r="A54" s="5" t="str">
        <f>[1]Sheet1!A54</f>
        <v>Filter</v>
      </c>
      <c r="B54" s="5" t="str">
        <f>[1]Sheet1!B54</f>
        <v>SAFRG2G59MA0F0A(B41TX)</v>
      </c>
      <c r="C54" s="5" t="str">
        <f>[1]Sheet1!C54</f>
        <v>2496-2690</v>
      </c>
      <c r="D54" s="5">
        <f>[1]Sheet1!D54</f>
        <v>-3</v>
      </c>
      <c r="E54" s="5">
        <f>[1]Sheet1!E54</f>
        <v>3</v>
      </c>
      <c r="F54" s="5">
        <f>[1]Sheet1!F54</f>
        <v>60</v>
      </c>
      <c r="G54" s="5">
        <f>[1]Sheet1!G54</f>
        <v>60</v>
      </c>
      <c r="H54" s="5">
        <f>[1]Sheet1!H54</f>
        <v>0</v>
      </c>
    </row>
    <row r="55" spans="1:10" x14ac:dyDescent="0.15">
      <c r="A55" s="5" t="str">
        <f>[1]Sheet1!A55</f>
        <v>Filter</v>
      </c>
      <c r="B55" s="5" t="str">
        <f>[1]Sheet1!B55</f>
        <v>SAFRG2G59MA0F0A(B41TX)</v>
      </c>
      <c r="C55" s="5" t="str">
        <f>[1]Sheet1!C55</f>
        <v>2570-2620(B38)</v>
      </c>
      <c r="D55" s="5">
        <f>[1]Sheet1!D55</f>
        <v>-2.1</v>
      </c>
      <c r="E55" s="5">
        <f>[1]Sheet1!E55</f>
        <v>2.1</v>
      </c>
      <c r="F55" s="5">
        <f>[1]Sheet1!F55</f>
        <v>60</v>
      </c>
      <c r="G55" s="5">
        <f>[1]Sheet1!G55</f>
        <v>60</v>
      </c>
      <c r="H55" s="5">
        <f>[1]Sheet1!H55</f>
        <v>0</v>
      </c>
    </row>
    <row r="56" spans="1:10" x14ac:dyDescent="0.15">
      <c r="A56" s="5" t="str">
        <f>[1]Sheet1!A56</f>
        <v>Filter</v>
      </c>
      <c r="B56" s="5">
        <f>[1]Sheet1!B56</f>
        <v>885033</v>
      </c>
      <c r="C56" s="5" t="str">
        <f>[1]Sheet1!C56</f>
        <v>2.4G</v>
      </c>
      <c r="D56" s="5">
        <f>[1]Sheet1!D56</f>
        <v>-1.7</v>
      </c>
      <c r="E56" s="5">
        <f>[1]Sheet1!E56</f>
        <v>1.7</v>
      </c>
      <c r="F56" s="5">
        <f>[1]Sheet1!F56</f>
        <v>60</v>
      </c>
      <c r="G56" s="5">
        <f>[1]Sheet1!G56</f>
        <v>60</v>
      </c>
      <c r="H56" s="5">
        <f>[1]Sheet1!H56</f>
        <v>0</v>
      </c>
    </row>
    <row r="57" spans="1:10" x14ac:dyDescent="0.15">
      <c r="A57" s="5" t="str">
        <f>[1]Sheet1!A57</f>
        <v>Filter</v>
      </c>
      <c r="B57" s="5" t="str">
        <f>[1]Sheet1!B57</f>
        <v>LFL181G95TF1D802(HB-LPF)</v>
      </c>
      <c r="C57" s="5" t="str">
        <f>[1]Sheet1!C57</f>
        <v>1880-2025</v>
      </c>
      <c r="D57" s="5">
        <f>[1]Sheet1!D57</f>
        <v>-1.03</v>
      </c>
      <c r="E57" s="5">
        <f>[1]Sheet1!E57</f>
        <v>1.03</v>
      </c>
      <c r="F57" s="5">
        <f>[1]Sheet1!F57</f>
        <v>60</v>
      </c>
      <c r="G57" s="5">
        <f>[1]Sheet1!G57</f>
        <v>60</v>
      </c>
      <c r="H57" s="5">
        <f>[1]Sheet1!H57</f>
        <v>0</v>
      </c>
    </row>
    <row r="58" spans="1:10" x14ac:dyDescent="0.15">
      <c r="A58" s="5" t="str">
        <f>[1]Sheet1!A58</f>
        <v>Filter</v>
      </c>
      <c r="B58" s="5" t="str">
        <f>[1]Sheet1!B58</f>
        <v>LFL18829MTCRD627(LB-LPF)</v>
      </c>
      <c r="C58" s="5">
        <f>[1]Sheet1!C58</f>
        <v>915</v>
      </c>
      <c r="D58" s="5">
        <f>[1]Sheet1!D58</f>
        <v>-0.75</v>
      </c>
      <c r="E58" s="5">
        <f>[1]Sheet1!E58</f>
        <v>0.75</v>
      </c>
      <c r="F58" s="5">
        <f>[1]Sheet1!F58</f>
        <v>60</v>
      </c>
      <c r="G58" s="5">
        <f>[1]Sheet1!G58</f>
        <v>60</v>
      </c>
      <c r="H58" s="5">
        <f>[1]Sheet1!H58</f>
        <v>0</v>
      </c>
    </row>
    <row r="59" spans="1:10" x14ac:dyDescent="0.15">
      <c r="A59" s="5" t="str">
        <f>[1]Sheet1!A59</f>
        <v>Filter</v>
      </c>
      <c r="B59" s="5" t="str">
        <f>[1]Sheet1!B59</f>
        <v>LFL18829MTCRD627(LB-LPF)</v>
      </c>
      <c r="C59" s="5">
        <f>[1]Sheet1!C59</f>
        <v>960</v>
      </c>
      <c r="D59" s="5">
        <f>[1]Sheet1!D59</f>
        <v>-0.9</v>
      </c>
      <c r="E59" s="5">
        <f>[1]Sheet1!E59</f>
        <v>0.9</v>
      </c>
      <c r="F59" s="5">
        <f>[1]Sheet1!F59</f>
        <v>60</v>
      </c>
      <c r="G59" s="5">
        <f>[1]Sheet1!G59</f>
        <v>60</v>
      </c>
      <c r="H59" s="5">
        <f>[1]Sheet1!H59</f>
        <v>0</v>
      </c>
    </row>
    <row r="60" spans="1:10" x14ac:dyDescent="0.15">
      <c r="A60" s="5" t="str">
        <f>[1]Sheet1!A60</f>
        <v>Switcher</v>
      </c>
      <c r="B60" s="5" t="str">
        <f>[1]Sheet1!B60</f>
        <v>RTC8612H</v>
      </c>
      <c r="C60" s="5" t="str">
        <f>[1]Sheet1!C60</f>
        <v>2.4G</v>
      </c>
      <c r="D60" s="5">
        <f>[1]Sheet1!D60</f>
        <v>-0.7</v>
      </c>
      <c r="E60" s="5">
        <f>[1]Sheet1!E60</f>
        <v>0.7</v>
      </c>
      <c r="F60" s="5">
        <f>[1]Sheet1!F60</f>
        <v>60</v>
      </c>
      <c r="G60" s="5">
        <f>[1]Sheet1!G60</f>
        <v>60</v>
      </c>
      <c r="H60" s="5">
        <f>[1]Sheet1!H60</f>
        <v>0</v>
      </c>
    </row>
    <row r="61" spans="1:10" x14ac:dyDescent="0.15">
      <c r="A61" s="5" t="str">
        <f>[1]Sheet1!A61</f>
        <v>Switcher</v>
      </c>
      <c r="B61" s="5" t="str">
        <f>[1]Sheet1!B61</f>
        <v>RTC8612H</v>
      </c>
      <c r="C61" s="5" t="str">
        <f>[1]Sheet1!C61</f>
        <v>1G</v>
      </c>
      <c r="D61" s="5">
        <f>[1]Sheet1!D61</f>
        <v>-0.5</v>
      </c>
      <c r="E61" s="5">
        <f>[1]Sheet1!E61</f>
        <v>0.7</v>
      </c>
      <c r="F61" s="5">
        <f>[1]Sheet1!F61</f>
        <v>60</v>
      </c>
      <c r="G61" s="5">
        <f>[1]Sheet1!G61</f>
        <v>60</v>
      </c>
      <c r="H61" s="5">
        <f>[1]Sheet1!H61</f>
        <v>0</v>
      </c>
    </row>
    <row r="62" spans="1:10" x14ac:dyDescent="0.15">
      <c r="A62" s="5" t="str">
        <f>[1]Sheet1!A62</f>
        <v>Switcher</v>
      </c>
      <c r="B62" s="5" t="str">
        <f>[1]Sheet1!B62</f>
        <v>AS186-302</v>
      </c>
      <c r="C62" s="5" t="str">
        <f>[1]Sheet1!C62</f>
        <v>工作频段</v>
      </c>
      <c r="D62" s="5">
        <f>[1]Sheet1!D62</f>
        <v>-0.8</v>
      </c>
      <c r="E62" s="5">
        <f>[1]Sheet1!E62</f>
        <v>0.8</v>
      </c>
      <c r="F62" s="5">
        <f>[1]Sheet1!F62</f>
        <v>30</v>
      </c>
      <c r="G62" s="5">
        <f>[1]Sheet1!G62</f>
        <v>46</v>
      </c>
      <c r="H62" s="5">
        <f>[1]Sheet1!H62</f>
        <v>0</v>
      </c>
    </row>
    <row r="63" spans="1:10" x14ac:dyDescent="0.15">
      <c r="A63" s="5" t="str">
        <f>[1]Sheet1!A63</f>
        <v>Switcher</v>
      </c>
      <c r="B63" s="5" t="str">
        <f>[1]Sheet1!B63</f>
        <v>QFE1045</v>
      </c>
      <c r="C63" s="5" t="str">
        <f>[1]Sheet1!C63</f>
        <v>2100 - 2170</v>
      </c>
      <c r="D63" s="5">
        <f>[1]Sheet1!D63</f>
        <v>-1.18</v>
      </c>
      <c r="E63" s="5">
        <f>[1]Sheet1!E63</f>
        <v>1.18</v>
      </c>
      <c r="F63" s="5">
        <f>[1]Sheet1!F63</f>
        <v>60</v>
      </c>
      <c r="G63" s="5">
        <f>[1]Sheet1!G63</f>
        <v>60</v>
      </c>
      <c r="H63" s="5">
        <f>[1]Sheet1!H63</f>
        <v>0</v>
      </c>
    </row>
    <row r="64" spans="1:10" x14ac:dyDescent="0.15">
      <c r="A64" s="5" t="str">
        <f>[1]Sheet1!A64</f>
        <v>Switcher</v>
      </c>
      <c r="B64" s="5" t="str">
        <f>[1]Sheet1!B64</f>
        <v>QFE1045</v>
      </c>
      <c r="C64" s="5" t="str">
        <f>[1]Sheet1!C64</f>
        <v>1710 - 1995</v>
      </c>
      <c r="D64" s="5">
        <f>[1]Sheet1!D64</f>
        <v>-1.1499999999999999</v>
      </c>
      <c r="E64" s="5">
        <f>[1]Sheet1!E64</f>
        <v>1.1499999999999999</v>
      </c>
      <c r="F64" s="5">
        <f>[1]Sheet1!F64</f>
        <v>60</v>
      </c>
      <c r="G64" s="5">
        <f>[1]Sheet1!G64</f>
        <v>60</v>
      </c>
      <c r="H64" s="5">
        <f>[1]Sheet1!H64</f>
        <v>0</v>
      </c>
    </row>
    <row r="65" spans="1:8" x14ac:dyDescent="0.15">
      <c r="A65" s="5" t="str">
        <f>[1]Sheet1!A65</f>
        <v>Switcher</v>
      </c>
      <c r="B65" s="5" t="str">
        <f>[1]Sheet1!B65</f>
        <v>QFE1040</v>
      </c>
      <c r="C65" s="5" t="str">
        <f>[1]Sheet1!C65</f>
        <v>1960-2170</v>
      </c>
      <c r="D65" s="5">
        <f>[1]Sheet1!D65</f>
        <v>-0.6</v>
      </c>
      <c r="E65" s="5">
        <f>[1]Sheet1!E65</f>
        <v>0.6</v>
      </c>
      <c r="F65" s="5">
        <f>[1]Sheet1!F65</f>
        <v>60</v>
      </c>
      <c r="G65" s="5">
        <f>[1]Sheet1!G65</f>
        <v>60</v>
      </c>
      <c r="H65" s="5">
        <f>[1]Sheet1!H65</f>
        <v>0</v>
      </c>
    </row>
    <row r="66" spans="1:8" x14ac:dyDescent="0.15">
      <c r="A66" s="5" t="str">
        <f>[1]Sheet1!A66</f>
        <v>Switcher</v>
      </c>
      <c r="B66" s="5" t="str">
        <f>[1]Sheet1!B66</f>
        <v>QFE1040</v>
      </c>
      <c r="C66" s="5" t="str">
        <f>[1]Sheet1!C66</f>
        <v>1710 - 1960</v>
      </c>
      <c r="D66" s="5">
        <f>[1]Sheet1!D66</f>
        <v>-0.5</v>
      </c>
      <c r="E66" s="5">
        <f>[1]Sheet1!E66</f>
        <v>0.5</v>
      </c>
      <c r="F66" s="5">
        <f>[1]Sheet1!F66</f>
        <v>60</v>
      </c>
      <c r="G66" s="5">
        <f>[1]Sheet1!G66</f>
        <v>60</v>
      </c>
      <c r="H66" s="5">
        <f>[1]Sheet1!H66</f>
        <v>0</v>
      </c>
    </row>
    <row r="67" spans="1:8" x14ac:dyDescent="0.15">
      <c r="A67" s="5" t="str">
        <f>[1]Sheet1!A67</f>
        <v>Switcher</v>
      </c>
      <c r="B67" s="5" t="str">
        <f>[1]Sheet1!B67</f>
        <v>QFE1040</v>
      </c>
      <c r="C67" s="5" t="str">
        <f>[1]Sheet1!C67</f>
        <v>700-960</v>
      </c>
      <c r="D67" s="5">
        <f>[1]Sheet1!D67</f>
        <v>-0.45</v>
      </c>
      <c r="E67" s="5">
        <f>[1]Sheet1!E67</f>
        <v>0.45</v>
      </c>
      <c r="F67" s="5">
        <f>[1]Sheet1!F67</f>
        <v>60</v>
      </c>
      <c r="G67" s="5">
        <f>[1]Sheet1!G67</f>
        <v>60</v>
      </c>
      <c r="H67" s="5">
        <f>[1]Sheet1!H67</f>
        <v>0</v>
      </c>
    </row>
    <row r="68" spans="1:8" x14ac:dyDescent="0.15">
      <c r="A68" s="5" t="str">
        <f>[1]Sheet1!A68</f>
        <v>Switcher</v>
      </c>
      <c r="B68" s="5" t="str">
        <f>[1]Sheet1!B68</f>
        <v>QFE1035</v>
      </c>
      <c r="C68" s="5" t="str">
        <f>[1]Sheet1!C68</f>
        <v>699-960</v>
      </c>
      <c r="D68" s="5">
        <f>[1]Sheet1!D68</f>
        <v>-0.76</v>
      </c>
      <c r="E68" s="5">
        <f>[1]Sheet1!E68</f>
        <v>0.76</v>
      </c>
      <c r="F68" s="5">
        <f>[1]Sheet1!F68</f>
        <v>60</v>
      </c>
      <c r="G68" s="5">
        <f>[1]Sheet1!G68</f>
        <v>60</v>
      </c>
      <c r="H68" s="5">
        <f>[1]Sheet1!H68</f>
        <v>0</v>
      </c>
    </row>
    <row r="69" spans="1:8" x14ac:dyDescent="0.15">
      <c r="A69" s="5" t="str">
        <f>[1]Sheet1!A69</f>
        <v>Switcher</v>
      </c>
      <c r="B69" s="5" t="str">
        <f>[1]Sheet1!B69</f>
        <v>RF1680</v>
      </c>
      <c r="C69" s="5" t="str">
        <f>[1]Sheet1!C69</f>
        <v>1710-2170</v>
      </c>
      <c r="D69" s="5">
        <f>[1]Sheet1!D69</f>
        <v>-0.3</v>
      </c>
      <c r="E69" s="5">
        <f>[1]Sheet1!E69</f>
        <v>0.3</v>
      </c>
      <c r="F69" s="5">
        <f>[1]Sheet1!F69</f>
        <v>60</v>
      </c>
      <c r="G69" s="5">
        <f>[1]Sheet1!G69</f>
        <v>60</v>
      </c>
      <c r="H69" s="5">
        <f>[1]Sheet1!H69</f>
        <v>0</v>
      </c>
    </row>
    <row r="70" spans="1:8" x14ac:dyDescent="0.15">
      <c r="A70" s="5" t="str">
        <f>[1]Sheet1!A70</f>
        <v>Switcher</v>
      </c>
      <c r="B70" s="5" t="str">
        <f>[1]Sheet1!B70</f>
        <v>RF1680</v>
      </c>
      <c r="C70" s="5" t="str">
        <f>[1]Sheet1!C70</f>
        <v>704-960</v>
      </c>
      <c r="D70" s="5">
        <f>[1]Sheet1!D70</f>
        <v>-0.3</v>
      </c>
      <c r="E70" s="5">
        <f>[1]Sheet1!E70</f>
        <v>0.3</v>
      </c>
      <c r="F70" s="5">
        <f>[1]Sheet1!F70</f>
        <v>60</v>
      </c>
      <c r="G70" s="5">
        <f>[1]Sheet1!G70</f>
        <v>60</v>
      </c>
      <c r="H70" s="5">
        <f>[1]Sheet1!H70</f>
        <v>0</v>
      </c>
    </row>
    <row r="71" spans="1:8" x14ac:dyDescent="0.15">
      <c r="A71" s="5" t="str">
        <f>[1]Sheet1!A71</f>
        <v>Switcher</v>
      </c>
      <c r="B71" s="5" t="str">
        <f>[1]Sheet1!B71</f>
        <v>RF1680</v>
      </c>
      <c r="C71" s="5" t="str">
        <f>[1]Sheet1!C71</f>
        <v>2500-2690</v>
      </c>
      <c r="D71" s="5">
        <f>[1]Sheet1!D71</f>
        <v>-0.4</v>
      </c>
      <c r="E71" s="5">
        <f>[1]Sheet1!E71</f>
        <v>0.4</v>
      </c>
      <c r="F71" s="5">
        <f>[1]Sheet1!F71</f>
        <v>60</v>
      </c>
      <c r="G71" s="5">
        <f>[1]Sheet1!G71</f>
        <v>60</v>
      </c>
      <c r="H71" s="5">
        <f>[1]Sheet1!H71</f>
        <v>0</v>
      </c>
    </row>
    <row r="72" spans="1:8" x14ac:dyDescent="0.15">
      <c r="A72" s="5" t="str">
        <f>[1]Sheet1!A72</f>
        <v>Switcher</v>
      </c>
      <c r="B72" s="5" t="str">
        <f>[1]Sheet1!B72</f>
        <v>RF1656</v>
      </c>
      <c r="C72" s="5" t="str">
        <f>[1]Sheet1!C72</f>
        <v>704-960</v>
      </c>
      <c r="D72" s="5">
        <f>[1]Sheet1!D72</f>
        <v>-0.38</v>
      </c>
      <c r="E72" s="5">
        <f>[1]Sheet1!E72</f>
        <v>0.38</v>
      </c>
      <c r="F72" s="5">
        <f>[1]Sheet1!F72</f>
        <v>60</v>
      </c>
      <c r="G72" s="5">
        <f>[1]Sheet1!G72</f>
        <v>60</v>
      </c>
      <c r="H72" s="5">
        <f>[1]Sheet1!H72</f>
        <v>0</v>
      </c>
    </row>
    <row r="73" spans="1:8" x14ac:dyDescent="0.15">
      <c r="A73" s="5" t="str">
        <f>[1]Sheet1!A73</f>
        <v>Switcher</v>
      </c>
      <c r="B73" s="5" t="str">
        <f>[1]Sheet1!B73</f>
        <v>RF1656</v>
      </c>
      <c r="C73" s="5" t="str">
        <f>[1]Sheet1!C73</f>
        <v>1710-2170</v>
      </c>
      <c r="D73" s="5">
        <f>[1]Sheet1!D73</f>
        <v>-0.55000000000000004</v>
      </c>
      <c r="E73" s="5">
        <f>[1]Sheet1!E73</f>
        <v>0.55000000000000004</v>
      </c>
      <c r="F73" s="5">
        <f>[1]Sheet1!F73</f>
        <v>60</v>
      </c>
      <c r="G73" s="5">
        <f>[1]Sheet1!G73</f>
        <v>60</v>
      </c>
      <c r="H73" s="5">
        <f>[1]Sheet1!H73</f>
        <v>0</v>
      </c>
    </row>
    <row r="74" spans="1:8" x14ac:dyDescent="0.15">
      <c r="A74" s="5" t="str">
        <f>[1]Sheet1!A74</f>
        <v>Switcher</v>
      </c>
      <c r="B74" s="5" t="str">
        <f>[1]Sheet1!B74</f>
        <v>RF1656</v>
      </c>
      <c r="C74" s="5" t="str">
        <f>[1]Sheet1!C74</f>
        <v>2300-2690</v>
      </c>
      <c r="D74" s="5">
        <f>[1]Sheet1!D74</f>
        <v>-0.67</v>
      </c>
      <c r="E74" s="5">
        <f>[1]Sheet1!E74</f>
        <v>0.67</v>
      </c>
      <c r="F74" s="5">
        <f>[1]Sheet1!F74</f>
        <v>60</v>
      </c>
      <c r="G74" s="5">
        <f>[1]Sheet1!G74</f>
        <v>60</v>
      </c>
      <c r="H74" s="5">
        <f>[1]Sheet1!H74</f>
        <v>0</v>
      </c>
    </row>
    <row r="75" spans="1:8" x14ac:dyDescent="0.15">
      <c r="A75" s="5" t="str">
        <f>[1]Sheet1!A75</f>
        <v>Tx module</v>
      </c>
      <c r="B75" s="5" t="str">
        <f>[1]Sheet1!B75</f>
        <v>QM57508</v>
      </c>
      <c r="C75" s="5" t="str">
        <f>[1]Sheet1!C75</f>
        <v>(ANT L)699-960</v>
      </c>
      <c r="D75" s="5">
        <f>[1]Sheet1!D75</f>
        <v>-0.57999999999999996</v>
      </c>
      <c r="E75" s="5">
        <f>[1]Sheet1!E75</f>
        <v>0.57999999999999996</v>
      </c>
      <c r="F75" s="5">
        <f>[1]Sheet1!F75</f>
        <v>60</v>
      </c>
      <c r="G75" s="5">
        <f>[1]Sheet1!G75</f>
        <v>60</v>
      </c>
      <c r="H75" s="5">
        <f>[1]Sheet1!H75</f>
        <v>0</v>
      </c>
    </row>
    <row r="76" spans="1:8" x14ac:dyDescent="0.15">
      <c r="A76" s="5" t="str">
        <f>[1]Sheet1!A76</f>
        <v>Tx module</v>
      </c>
      <c r="B76" s="5" t="str">
        <f>[1]Sheet1!B76</f>
        <v>QM57508</v>
      </c>
      <c r="C76" s="5" t="str">
        <f>[1]Sheet1!C76</f>
        <v>(ANT M)1427-2170</v>
      </c>
      <c r="D76" s="5">
        <f>[1]Sheet1!D76</f>
        <v>-0.78</v>
      </c>
      <c r="E76" s="5">
        <f>[1]Sheet1!E76</f>
        <v>0.78</v>
      </c>
      <c r="F76" s="5">
        <f>[1]Sheet1!F76</f>
        <v>60</v>
      </c>
      <c r="G76" s="5">
        <f>[1]Sheet1!G76</f>
        <v>60</v>
      </c>
      <c r="H76" s="5">
        <f>[1]Sheet1!H76</f>
        <v>0</v>
      </c>
    </row>
    <row r="77" spans="1:8" x14ac:dyDescent="0.15">
      <c r="A77" s="5" t="str">
        <f>[1]Sheet1!A77</f>
        <v>Tx module</v>
      </c>
      <c r="B77" s="5" t="str">
        <f>[1]Sheet1!B77</f>
        <v>QM57508</v>
      </c>
      <c r="C77" s="5" t="str">
        <f>[1]Sheet1!C77</f>
        <v>(ANT H)1427-2690</v>
      </c>
      <c r="D77" s="5">
        <f>[1]Sheet1!D77</f>
        <v>-0.7</v>
      </c>
      <c r="E77" s="5">
        <f>[1]Sheet1!E77</f>
        <v>0.7</v>
      </c>
      <c r="F77" s="5">
        <f>[1]Sheet1!F77</f>
        <v>60</v>
      </c>
      <c r="G77" s="5">
        <f>[1]Sheet1!G77</f>
        <v>60</v>
      </c>
      <c r="H77" s="5">
        <f>[1]Sheet1!H77</f>
        <v>0</v>
      </c>
    </row>
    <row r="78" spans="1:8" x14ac:dyDescent="0.15">
      <c r="A78" s="5" t="str">
        <f>[1]Sheet1!A78</f>
        <v>Tx module</v>
      </c>
      <c r="B78" s="5" t="str">
        <f>[1]Sheet1!B78</f>
        <v>QM57508</v>
      </c>
      <c r="C78" s="5" t="str">
        <f>[1]Sheet1!C78</f>
        <v>(ANT H)3400-3800</v>
      </c>
      <c r="D78" s="5">
        <f>[1]Sheet1!D78</f>
        <v>-1</v>
      </c>
      <c r="E78" s="5">
        <f>[1]Sheet1!E78</f>
        <v>1</v>
      </c>
      <c r="F78" s="5">
        <f>[1]Sheet1!F78</f>
        <v>60</v>
      </c>
      <c r="G78" s="5">
        <f>[1]Sheet1!G78</f>
        <v>60</v>
      </c>
      <c r="H78" s="5">
        <f>[1]Sheet1!H78</f>
        <v>0</v>
      </c>
    </row>
    <row r="79" spans="1:8" x14ac:dyDescent="0.15">
      <c r="A79" s="5" t="str">
        <f>[1]Sheet1!A79</f>
        <v>Tx module</v>
      </c>
      <c r="B79" s="5" t="str">
        <f>[1]Sheet1!B79</f>
        <v>QM57508</v>
      </c>
      <c r="C79" s="5" t="str">
        <f>[1]Sheet1!C79</f>
        <v>(ANT H)5150-5850</v>
      </c>
      <c r="D79" s="5">
        <f>[1]Sheet1!D79</f>
        <v>-1.07</v>
      </c>
      <c r="E79" s="5">
        <f>[1]Sheet1!E79</f>
        <v>1.07</v>
      </c>
      <c r="F79" s="5">
        <f>[1]Sheet1!F79</f>
        <v>60</v>
      </c>
      <c r="G79" s="5">
        <f>[1]Sheet1!G79</f>
        <v>60</v>
      </c>
      <c r="H79" s="5">
        <f>[1]Sheet1!H79</f>
        <v>0</v>
      </c>
    </row>
    <row r="80" spans="1:8" x14ac:dyDescent="0.15">
      <c r="A80" s="5" t="str">
        <f>[1]Sheet1!A80</f>
        <v>Tx module</v>
      </c>
      <c r="B80" s="5" t="str">
        <f>[1]Sheet1!B80</f>
        <v>RF5212A</v>
      </c>
      <c r="C80" s="5" t="str">
        <f>[1]Sheet1!C80</f>
        <v>ANT L</v>
      </c>
      <c r="D80" s="5">
        <f>[1]Sheet1!D80</f>
        <v>-0.8</v>
      </c>
      <c r="E80" s="5">
        <f>[1]Sheet1!E80</f>
        <v>0.8</v>
      </c>
      <c r="F80" s="5">
        <f>[1]Sheet1!F80</f>
        <v>60</v>
      </c>
      <c r="G80" s="5">
        <f>[1]Sheet1!G80</f>
        <v>60</v>
      </c>
      <c r="H80" s="5">
        <f>[1]Sheet1!H80</f>
        <v>0</v>
      </c>
    </row>
    <row r="81" spans="1:8" x14ac:dyDescent="0.15">
      <c r="A81" s="5" t="str">
        <f>[1]Sheet1!A81</f>
        <v>Tx module</v>
      </c>
      <c r="B81" s="5" t="str">
        <f>[1]Sheet1!B81</f>
        <v>RF5212A</v>
      </c>
      <c r="C81" s="5" t="str">
        <f>[1]Sheet1!C81</f>
        <v>ANT M</v>
      </c>
      <c r="D81" s="5">
        <f>[1]Sheet1!D81</f>
        <v>-1.3</v>
      </c>
      <c r="E81" s="5">
        <f>[1]Sheet1!E81</f>
        <v>1.3</v>
      </c>
      <c r="F81" s="5">
        <f>[1]Sheet1!F81</f>
        <v>60</v>
      </c>
      <c r="G81" s="5">
        <f>[1]Sheet1!G81</f>
        <v>60</v>
      </c>
      <c r="H81" s="5">
        <f>[1]Sheet1!H81</f>
        <v>0</v>
      </c>
    </row>
    <row r="82" spans="1:8" x14ac:dyDescent="0.15">
      <c r="A82" s="5" t="str">
        <f>[1]Sheet1!A82</f>
        <v>Tx module</v>
      </c>
      <c r="B82" s="5" t="str">
        <f>[1]Sheet1!B82</f>
        <v>RF5212A</v>
      </c>
      <c r="C82" s="5" t="str">
        <f>[1]Sheet1!C82</f>
        <v>ANT H</v>
      </c>
      <c r="D82" s="5">
        <f>[1]Sheet1!D82</f>
        <v>-1.1000000000000001</v>
      </c>
      <c r="E82" s="5">
        <f>[1]Sheet1!E82</f>
        <v>1.1000000000000001</v>
      </c>
      <c r="F82" s="5">
        <f>[1]Sheet1!F82</f>
        <v>60</v>
      </c>
      <c r="G82" s="5">
        <f>[1]Sheet1!G82</f>
        <v>60</v>
      </c>
      <c r="H82" s="5">
        <f>[1]Sheet1!H82</f>
        <v>0</v>
      </c>
    </row>
    <row r="83" spans="1:8" x14ac:dyDescent="0.15">
      <c r="A83" s="5" t="str">
        <f>[1]Sheet1!A83</f>
        <v>Multiplexer</v>
      </c>
      <c r="B83" s="5">
        <f>[1]Sheet1!B83</f>
        <v>0</v>
      </c>
      <c r="C83" s="5">
        <f>[1]Sheet1!C83</f>
        <v>0</v>
      </c>
      <c r="D83" s="5">
        <f>[1]Sheet1!D83</f>
        <v>0</v>
      </c>
      <c r="E83" s="5">
        <f>[1]Sheet1!E83</f>
        <v>0</v>
      </c>
      <c r="F83" s="5">
        <f>[1]Sheet1!F83</f>
        <v>0</v>
      </c>
      <c r="G83" s="5">
        <f>[1]Sheet1!G83</f>
        <v>0</v>
      </c>
      <c r="H83" s="5">
        <f>[1]Sheet1!H83</f>
        <v>0</v>
      </c>
    </row>
    <row r="84" spans="1:8" x14ac:dyDescent="0.15">
      <c r="A84" s="5" t="str">
        <f>[1]Sheet1!A84</f>
        <v>LNA</v>
      </c>
      <c r="B84" s="5" t="str">
        <f>[1]Sheet1!B84</f>
        <v>SPF5043Z</v>
      </c>
      <c r="C84" s="5" t="str">
        <f>[1]Sheet1!C84</f>
        <v>900M</v>
      </c>
      <c r="D84" s="5">
        <f>[1]Sheet1!D84</f>
        <v>18.2</v>
      </c>
      <c r="E84" s="5">
        <f>[1]Sheet1!E84</f>
        <v>0.8</v>
      </c>
      <c r="F84" s="5">
        <f>[1]Sheet1!F84</f>
        <v>22.6</v>
      </c>
      <c r="G84" s="5">
        <f>[1]Sheet1!G84</f>
        <v>33</v>
      </c>
      <c r="H84" s="5">
        <f>[1]Sheet1!H84</f>
        <v>0</v>
      </c>
    </row>
    <row r="85" spans="1:8" x14ac:dyDescent="0.15">
      <c r="A85" s="5" t="str">
        <f>[1]Sheet1!A85</f>
        <v>LNA</v>
      </c>
      <c r="B85" s="5" t="str">
        <f>[1]Sheet1!B85</f>
        <v>SPF5043Z</v>
      </c>
      <c r="C85" s="5" t="str">
        <f>[1]Sheet1!C85</f>
        <v>1.9G</v>
      </c>
      <c r="D85" s="5">
        <f>[1]Sheet1!D85</f>
        <v>12.9</v>
      </c>
      <c r="E85" s="5">
        <f>[1]Sheet1!E85</f>
        <v>0.8</v>
      </c>
      <c r="F85" s="5">
        <f>[1]Sheet1!F85</f>
        <v>22.7</v>
      </c>
      <c r="G85" s="5">
        <f>[1]Sheet1!G85</f>
        <v>35</v>
      </c>
      <c r="H85" s="5">
        <f>[1]Sheet1!H85</f>
        <v>0</v>
      </c>
    </row>
    <row r="86" spans="1:8" x14ac:dyDescent="0.15">
      <c r="A86" s="5" t="str">
        <f>[1]Sheet1!A86</f>
        <v>LNA</v>
      </c>
      <c r="B86" s="5" t="str">
        <f>[1]Sheet1!B86</f>
        <v>ATF54143</v>
      </c>
      <c r="C86" s="5" t="str">
        <f>[1]Sheet1!C86</f>
        <v>900M</v>
      </c>
      <c r="D86" s="5">
        <f>[1]Sheet1!D86</f>
        <v>23.4</v>
      </c>
      <c r="E86" s="5">
        <f>[1]Sheet1!E86</f>
        <v>0.3</v>
      </c>
      <c r="F86" s="5">
        <f>[1]Sheet1!F86</f>
        <v>18.399999999999999</v>
      </c>
      <c r="G86" s="5">
        <f>[1]Sheet1!G86</f>
        <v>35.5</v>
      </c>
      <c r="H86" s="5">
        <f>[1]Sheet1!H86</f>
        <v>0</v>
      </c>
    </row>
    <row r="87" spans="1:8" x14ac:dyDescent="0.15">
      <c r="A87" s="5" t="str">
        <f>[1]Sheet1!A87</f>
        <v>LNA</v>
      </c>
      <c r="B87" s="5" t="str">
        <f>[1]Sheet1!B87</f>
        <v>ATF54143</v>
      </c>
      <c r="C87" s="5" t="str">
        <f>[1]Sheet1!C87</f>
        <v>2G</v>
      </c>
      <c r="D87" s="5">
        <f>[1]Sheet1!D87</f>
        <v>16.600000000000001</v>
      </c>
      <c r="E87" s="5">
        <f>[1]Sheet1!E87</f>
        <v>0.5</v>
      </c>
      <c r="F87" s="5">
        <f>[1]Sheet1!F87</f>
        <v>20.399999999999999</v>
      </c>
      <c r="G87" s="5">
        <f>[1]Sheet1!G87</f>
        <v>36.200000000000003</v>
      </c>
      <c r="H87" s="5">
        <f>[1]Sheet1!H87</f>
        <v>0</v>
      </c>
    </row>
    <row r="88" spans="1:8" x14ac:dyDescent="0.15">
      <c r="A88" s="5" t="str">
        <f>[1]Sheet1!A88</f>
        <v>LNA</v>
      </c>
      <c r="B88" s="5" t="str">
        <f>[1]Sheet1!B88</f>
        <v>MXD8015H</v>
      </c>
      <c r="C88" s="5" t="str">
        <f>[1]Sheet1!C88</f>
        <v>1800-2200</v>
      </c>
      <c r="D88" s="5">
        <f>[1]Sheet1!D88</f>
        <v>15</v>
      </c>
      <c r="E88" s="5">
        <f>[1]Sheet1!E88</f>
        <v>0.7</v>
      </c>
      <c r="F88" s="5">
        <f>[1]Sheet1!F88</f>
        <v>15</v>
      </c>
      <c r="G88" s="5">
        <f>[1]Sheet1!G88</f>
        <v>16</v>
      </c>
      <c r="H88" s="5">
        <f>[1]Sheet1!H88</f>
        <v>0</v>
      </c>
    </row>
    <row r="89" spans="1:8" x14ac:dyDescent="0.15">
      <c r="A89" s="5" t="str">
        <f>[1]Sheet1!A89</f>
        <v>PA</v>
      </c>
      <c r="B89" s="5" t="str">
        <f>[1]Sheet1!B89</f>
        <v>QM56022(switcher)</v>
      </c>
      <c r="C89" s="5" t="str">
        <f>[1]Sheet1!C89</f>
        <v>2300-2690</v>
      </c>
      <c r="D89" s="5">
        <f>[1]Sheet1!D89</f>
        <v>-1</v>
      </c>
      <c r="E89" s="5">
        <f>[1]Sheet1!E89</f>
        <v>1</v>
      </c>
      <c r="F89" s="5">
        <f>[1]Sheet1!F89</f>
        <v>60</v>
      </c>
      <c r="G89" s="5">
        <f>[1]Sheet1!G89</f>
        <v>60</v>
      </c>
      <c r="H89" s="5">
        <f>[1]Sheet1!H89</f>
        <v>0</v>
      </c>
    </row>
    <row r="90" spans="1:8" x14ac:dyDescent="0.15">
      <c r="A90" s="5">
        <f>[1]Sheet1!A90</f>
        <v>0</v>
      </c>
      <c r="B90" s="5">
        <f>[1]Sheet1!B90</f>
        <v>0</v>
      </c>
      <c r="C90" s="5">
        <f>[1]Sheet1!C90</f>
        <v>0</v>
      </c>
      <c r="D90" s="5">
        <f>[1]Sheet1!D90</f>
        <v>0</v>
      </c>
      <c r="E90" s="5">
        <f>[1]Sheet1!E90</f>
        <v>0</v>
      </c>
      <c r="F90" s="5">
        <f>[1]Sheet1!F90</f>
        <v>0</v>
      </c>
      <c r="G90" s="5">
        <f>[1]Sheet1!G90</f>
        <v>0</v>
      </c>
      <c r="H90" s="5">
        <f>[1]Sheet1!H90</f>
        <v>0</v>
      </c>
    </row>
    <row r="91" spans="1:8" x14ac:dyDescent="0.15">
      <c r="A91" s="5">
        <f>[1]Sheet1!A91</f>
        <v>0</v>
      </c>
      <c r="B91" s="5">
        <f>[1]Sheet1!B91</f>
        <v>0</v>
      </c>
      <c r="C91" s="5">
        <f>[1]Sheet1!C91</f>
        <v>0</v>
      </c>
      <c r="D91" s="5">
        <f>[1]Sheet1!D91</f>
        <v>0</v>
      </c>
      <c r="E91" s="5">
        <f>[1]Sheet1!E91</f>
        <v>0</v>
      </c>
      <c r="F91" s="5">
        <f>[1]Sheet1!F91</f>
        <v>0</v>
      </c>
      <c r="G91" s="5">
        <f>[1]Sheet1!G91</f>
        <v>0</v>
      </c>
      <c r="H91" s="5">
        <f>[1]Sheet1!H91</f>
        <v>0</v>
      </c>
    </row>
    <row r="92" spans="1:8" x14ac:dyDescent="0.15">
      <c r="A92" s="5">
        <f>[1]Sheet1!A92</f>
        <v>0</v>
      </c>
      <c r="B92" s="5">
        <f>[1]Sheet1!B92</f>
        <v>0</v>
      </c>
      <c r="C92" s="5">
        <f>[1]Sheet1!C92</f>
        <v>0</v>
      </c>
      <c r="D92" s="5">
        <f>[1]Sheet1!D92</f>
        <v>0</v>
      </c>
      <c r="E92" s="5">
        <f>[1]Sheet1!E92</f>
        <v>0</v>
      </c>
      <c r="F92" s="5">
        <f>[1]Sheet1!F92</f>
        <v>0</v>
      </c>
      <c r="G92" s="5">
        <f>[1]Sheet1!G92</f>
        <v>0</v>
      </c>
      <c r="H92" s="5">
        <f>[1]Sheet1!H92</f>
        <v>0</v>
      </c>
    </row>
    <row r="93" spans="1:8" x14ac:dyDescent="0.15">
      <c r="A93" s="5">
        <f>[1]Sheet1!A93</f>
        <v>0</v>
      </c>
      <c r="B93" s="5">
        <f>[1]Sheet1!B93</f>
        <v>0</v>
      </c>
      <c r="C93" s="5">
        <f>[1]Sheet1!C93</f>
        <v>0</v>
      </c>
      <c r="D93" s="5">
        <f>[1]Sheet1!D93</f>
        <v>0</v>
      </c>
      <c r="E93" s="5">
        <f>[1]Sheet1!E93</f>
        <v>0</v>
      </c>
      <c r="F93" s="5">
        <f>[1]Sheet1!F93</f>
        <v>0</v>
      </c>
      <c r="G93" s="5">
        <f>[1]Sheet1!G93</f>
        <v>0</v>
      </c>
      <c r="H93" s="5">
        <f>[1]Sheet1!H93</f>
        <v>0</v>
      </c>
    </row>
    <row r="94" spans="1:8" x14ac:dyDescent="0.15">
      <c r="A94" s="5">
        <f>[1]Sheet1!A94</f>
        <v>0</v>
      </c>
      <c r="B94" s="5">
        <f>[1]Sheet1!B94</f>
        <v>0</v>
      </c>
      <c r="C94" s="5">
        <f>[1]Sheet1!C94</f>
        <v>0</v>
      </c>
      <c r="D94" s="5">
        <f>[1]Sheet1!D94</f>
        <v>0</v>
      </c>
      <c r="E94" s="5">
        <f>[1]Sheet1!E94</f>
        <v>0</v>
      </c>
      <c r="F94" s="5">
        <f>[1]Sheet1!F94</f>
        <v>0</v>
      </c>
      <c r="G94" s="5">
        <f>[1]Sheet1!G94</f>
        <v>0</v>
      </c>
      <c r="H94" s="5">
        <f>[1]Sheet1!H94</f>
        <v>0</v>
      </c>
    </row>
    <row r="95" spans="1:8" x14ac:dyDescent="0.15">
      <c r="A95" s="5">
        <f>[1]Sheet1!A95</f>
        <v>0</v>
      </c>
      <c r="B95" s="5">
        <f>[1]Sheet1!B95</f>
        <v>0</v>
      </c>
      <c r="C95" s="5">
        <f>[1]Sheet1!C95</f>
        <v>0</v>
      </c>
      <c r="D95" s="5">
        <f>[1]Sheet1!D95</f>
        <v>0</v>
      </c>
      <c r="E95" s="5">
        <f>[1]Sheet1!E95</f>
        <v>0</v>
      </c>
      <c r="F95" s="5">
        <f>[1]Sheet1!F95</f>
        <v>0</v>
      </c>
      <c r="G95" s="5">
        <f>[1]Sheet1!G95</f>
        <v>0</v>
      </c>
      <c r="H95" s="5">
        <f>[1]Sheet1!H95</f>
        <v>0</v>
      </c>
    </row>
    <row r="96" spans="1:8" x14ac:dyDescent="0.15">
      <c r="A96" s="5">
        <f>[1]Sheet1!A96</f>
        <v>0</v>
      </c>
      <c r="B96" s="5">
        <f>[1]Sheet1!B96</f>
        <v>0</v>
      </c>
      <c r="C96" s="5">
        <f>[1]Sheet1!C96</f>
        <v>0</v>
      </c>
      <c r="D96" s="5">
        <f>[1]Sheet1!D96</f>
        <v>0</v>
      </c>
      <c r="E96" s="5">
        <f>[1]Sheet1!E96</f>
        <v>0</v>
      </c>
      <c r="F96" s="5">
        <f>[1]Sheet1!F96</f>
        <v>0</v>
      </c>
      <c r="G96" s="5">
        <f>[1]Sheet1!G96</f>
        <v>0</v>
      </c>
      <c r="H96" s="5">
        <f>[1]Sheet1!H96</f>
        <v>0</v>
      </c>
    </row>
    <row r="97" spans="1:8" x14ac:dyDescent="0.15">
      <c r="A97" s="5">
        <f>[1]Sheet1!A97</f>
        <v>0</v>
      </c>
      <c r="B97" s="5">
        <f>[1]Sheet1!B97</f>
        <v>0</v>
      </c>
      <c r="C97" s="5">
        <f>[1]Sheet1!C97</f>
        <v>0</v>
      </c>
      <c r="D97" s="5">
        <f>[1]Sheet1!D97</f>
        <v>0</v>
      </c>
      <c r="E97" s="5">
        <f>[1]Sheet1!E97</f>
        <v>0</v>
      </c>
      <c r="F97" s="5">
        <f>[1]Sheet1!F97</f>
        <v>0</v>
      </c>
      <c r="G97" s="5">
        <f>[1]Sheet1!G97</f>
        <v>0</v>
      </c>
      <c r="H97" s="5">
        <f>[1]Sheet1!H97</f>
        <v>0</v>
      </c>
    </row>
    <row r="98" spans="1:8" x14ac:dyDescent="0.15">
      <c r="A98" s="5">
        <f>[1]Sheet1!A98</f>
        <v>0</v>
      </c>
      <c r="B98" s="5">
        <f>[1]Sheet1!B98</f>
        <v>0</v>
      </c>
      <c r="C98" s="5">
        <f>[1]Sheet1!C98</f>
        <v>0</v>
      </c>
      <c r="D98" s="5">
        <f>[1]Sheet1!D98</f>
        <v>0</v>
      </c>
      <c r="E98" s="5">
        <f>[1]Sheet1!E98</f>
        <v>0</v>
      </c>
      <c r="F98" s="5">
        <f>[1]Sheet1!F98</f>
        <v>0</v>
      </c>
      <c r="G98" s="5">
        <f>[1]Sheet1!G98</f>
        <v>0</v>
      </c>
      <c r="H98" s="5">
        <f>[1]Sheet1!H98</f>
        <v>0</v>
      </c>
    </row>
    <row r="99" spans="1:8" x14ac:dyDescent="0.15">
      <c r="A99" s="5">
        <f>[1]Sheet1!A99</f>
        <v>0</v>
      </c>
      <c r="B99" s="5">
        <f>[1]Sheet1!B99</f>
        <v>0</v>
      </c>
      <c r="C99" s="5">
        <f>[1]Sheet1!C99</f>
        <v>0</v>
      </c>
      <c r="D99" s="5">
        <f>[1]Sheet1!D99</f>
        <v>0</v>
      </c>
      <c r="E99" s="5">
        <f>[1]Sheet1!E99</f>
        <v>0</v>
      </c>
      <c r="F99" s="5">
        <f>[1]Sheet1!F99</f>
        <v>0</v>
      </c>
      <c r="G99" s="5">
        <f>[1]Sheet1!G99</f>
        <v>0</v>
      </c>
      <c r="H99" s="5">
        <f>[1]Sheet1!H99</f>
        <v>0</v>
      </c>
    </row>
    <row r="100" spans="1:8" x14ac:dyDescent="0.15">
      <c r="A100" s="5">
        <f>[1]Sheet1!A100</f>
        <v>0</v>
      </c>
      <c r="B100" s="5">
        <f>[1]Sheet1!B100</f>
        <v>0</v>
      </c>
      <c r="C100" s="5">
        <f>[1]Sheet1!C100</f>
        <v>0</v>
      </c>
      <c r="D100" s="5">
        <f>[1]Sheet1!D100</f>
        <v>0</v>
      </c>
      <c r="E100" s="5">
        <f>[1]Sheet1!E100</f>
        <v>0</v>
      </c>
      <c r="F100" s="5">
        <f>[1]Sheet1!F100</f>
        <v>0</v>
      </c>
      <c r="G100" s="5">
        <f>[1]Sheet1!G100</f>
        <v>0</v>
      </c>
      <c r="H100" s="5">
        <f>[1]Sheet1!H100</f>
        <v>0</v>
      </c>
    </row>
    <row r="101" spans="1:8" x14ac:dyDescent="0.15">
      <c r="A101" s="5">
        <f>[1]Sheet1!A101</f>
        <v>0</v>
      </c>
      <c r="B101" s="5">
        <f>[1]Sheet1!B101</f>
        <v>0</v>
      </c>
      <c r="C101" s="5">
        <f>[1]Sheet1!C101</f>
        <v>0</v>
      </c>
      <c r="D101" s="5">
        <f>[1]Sheet1!D101</f>
        <v>0</v>
      </c>
      <c r="E101" s="5">
        <f>[1]Sheet1!E101</f>
        <v>0</v>
      </c>
      <c r="F101" s="5">
        <f>[1]Sheet1!F101</f>
        <v>0</v>
      </c>
      <c r="G101" s="5">
        <f>[1]Sheet1!G101</f>
        <v>0</v>
      </c>
      <c r="H101" s="5">
        <f>[1]Sheet1!H101</f>
        <v>0</v>
      </c>
    </row>
    <row r="102" spans="1:8" x14ac:dyDescent="0.15">
      <c r="A102" s="5">
        <f>[1]Sheet1!A102</f>
        <v>0</v>
      </c>
      <c r="B102" s="5">
        <f>[1]Sheet1!B102</f>
        <v>0</v>
      </c>
      <c r="C102" s="5">
        <f>[1]Sheet1!C102</f>
        <v>0</v>
      </c>
      <c r="D102" s="5">
        <f>[1]Sheet1!D102</f>
        <v>0</v>
      </c>
      <c r="E102" s="5">
        <f>[1]Sheet1!E102</f>
        <v>0</v>
      </c>
      <c r="F102" s="5">
        <f>[1]Sheet1!F102</f>
        <v>0</v>
      </c>
      <c r="G102" s="5">
        <f>[1]Sheet1!G102</f>
        <v>0</v>
      </c>
      <c r="H102" s="5">
        <f>[1]Sheet1!H102</f>
        <v>0</v>
      </c>
    </row>
    <row r="103" spans="1:8" x14ac:dyDescent="0.15">
      <c r="A103" s="5">
        <f>[1]Sheet1!A103</f>
        <v>0</v>
      </c>
      <c r="B103" s="5">
        <f>[1]Sheet1!B103</f>
        <v>0</v>
      </c>
      <c r="C103" s="5">
        <f>[1]Sheet1!C103</f>
        <v>0</v>
      </c>
      <c r="D103" s="5">
        <f>[1]Sheet1!D103</f>
        <v>0</v>
      </c>
      <c r="E103" s="5">
        <f>[1]Sheet1!E103</f>
        <v>0</v>
      </c>
      <c r="F103" s="5">
        <f>[1]Sheet1!F103</f>
        <v>0</v>
      </c>
      <c r="G103" s="5">
        <f>[1]Sheet1!G103</f>
        <v>0</v>
      </c>
      <c r="H103" s="5">
        <f>[1]Sheet1!H103</f>
        <v>0</v>
      </c>
    </row>
    <row r="104" spans="1:8" x14ac:dyDescent="0.15">
      <c r="A104" s="5">
        <f>[1]Sheet1!A104</f>
        <v>0</v>
      </c>
      <c r="B104" s="5">
        <f>[1]Sheet1!B104</f>
        <v>0</v>
      </c>
      <c r="C104" s="5">
        <f>[1]Sheet1!C104</f>
        <v>0</v>
      </c>
      <c r="D104" s="5">
        <f>[1]Sheet1!D104</f>
        <v>0</v>
      </c>
      <c r="E104" s="5">
        <f>[1]Sheet1!E104</f>
        <v>0</v>
      </c>
      <c r="F104" s="5">
        <f>[1]Sheet1!F104</f>
        <v>0</v>
      </c>
      <c r="G104" s="5">
        <f>[1]Sheet1!G104</f>
        <v>0</v>
      </c>
      <c r="H104" s="5">
        <f>[1]Sheet1!H104</f>
        <v>0</v>
      </c>
    </row>
    <row r="105" spans="1:8" x14ac:dyDescent="0.15">
      <c r="A105" s="5">
        <f>[1]Sheet1!A105</f>
        <v>0</v>
      </c>
      <c r="B105" s="5">
        <f>[1]Sheet1!B105</f>
        <v>0</v>
      </c>
      <c r="C105" s="5">
        <f>[1]Sheet1!C105</f>
        <v>0</v>
      </c>
      <c r="D105" s="5">
        <f>[1]Sheet1!D105</f>
        <v>0</v>
      </c>
      <c r="E105" s="5">
        <f>[1]Sheet1!E105</f>
        <v>0</v>
      </c>
      <c r="F105" s="5">
        <f>[1]Sheet1!F105</f>
        <v>0</v>
      </c>
      <c r="G105" s="5">
        <f>[1]Sheet1!G105</f>
        <v>0</v>
      </c>
      <c r="H105" s="5">
        <f>[1]Sheet1!H105</f>
        <v>0</v>
      </c>
    </row>
    <row r="106" spans="1:8" x14ac:dyDescent="0.15">
      <c r="A106" s="5">
        <f>[1]Sheet1!A106</f>
        <v>0</v>
      </c>
      <c r="B106" s="5">
        <f>[1]Sheet1!B106</f>
        <v>0</v>
      </c>
      <c r="C106" s="5">
        <f>[1]Sheet1!C106</f>
        <v>0</v>
      </c>
      <c r="D106" s="5">
        <f>[1]Sheet1!D106</f>
        <v>0</v>
      </c>
      <c r="E106" s="5">
        <f>[1]Sheet1!E106</f>
        <v>0</v>
      </c>
      <c r="F106" s="5">
        <f>[1]Sheet1!F106</f>
        <v>0</v>
      </c>
      <c r="G106" s="5">
        <f>[1]Sheet1!G106</f>
        <v>0</v>
      </c>
      <c r="H106" s="5">
        <f>[1]Sheet1!H106</f>
        <v>0</v>
      </c>
    </row>
    <row r="107" spans="1:8" x14ac:dyDescent="0.15">
      <c r="A107" s="5">
        <f>[1]Sheet1!A107</f>
        <v>0</v>
      </c>
      <c r="B107" s="5">
        <f>[1]Sheet1!B107</f>
        <v>0</v>
      </c>
      <c r="C107" s="5">
        <f>[1]Sheet1!C107</f>
        <v>0</v>
      </c>
      <c r="D107" s="5">
        <f>[1]Sheet1!D107</f>
        <v>0</v>
      </c>
      <c r="E107" s="5">
        <f>[1]Sheet1!E107</f>
        <v>0</v>
      </c>
      <c r="F107" s="5">
        <f>[1]Sheet1!F107</f>
        <v>0</v>
      </c>
      <c r="G107" s="5">
        <f>[1]Sheet1!G107</f>
        <v>0</v>
      </c>
      <c r="H107" s="5">
        <f>[1]Sheet1!H107</f>
        <v>0</v>
      </c>
    </row>
    <row r="108" spans="1:8" x14ac:dyDescent="0.15">
      <c r="A108" s="5">
        <f>[1]Sheet1!A108</f>
        <v>0</v>
      </c>
      <c r="B108" s="5">
        <f>[1]Sheet1!B108</f>
        <v>0</v>
      </c>
      <c r="C108" s="5">
        <f>[1]Sheet1!C108</f>
        <v>0</v>
      </c>
      <c r="D108" s="5">
        <f>[1]Sheet1!D108</f>
        <v>0</v>
      </c>
      <c r="E108" s="5">
        <f>[1]Sheet1!E108</f>
        <v>0</v>
      </c>
      <c r="F108" s="5">
        <f>[1]Sheet1!F108</f>
        <v>0</v>
      </c>
      <c r="G108" s="5">
        <f>[1]Sheet1!G108</f>
        <v>0</v>
      </c>
      <c r="H108" s="5">
        <f>[1]Sheet1!H108</f>
        <v>0</v>
      </c>
    </row>
    <row r="109" spans="1:8" x14ac:dyDescent="0.15">
      <c r="A109" s="5">
        <f>[1]Sheet1!A109</f>
        <v>0</v>
      </c>
      <c r="B109" s="5">
        <f>[1]Sheet1!B109</f>
        <v>0</v>
      </c>
      <c r="C109" s="5">
        <f>[1]Sheet1!C109</f>
        <v>0</v>
      </c>
      <c r="D109" s="5">
        <f>[1]Sheet1!D109</f>
        <v>0</v>
      </c>
      <c r="E109" s="5">
        <f>[1]Sheet1!E109</f>
        <v>0</v>
      </c>
      <c r="F109" s="5">
        <f>[1]Sheet1!F109</f>
        <v>0</v>
      </c>
      <c r="G109" s="5">
        <f>[1]Sheet1!G109</f>
        <v>0</v>
      </c>
      <c r="H109" s="5">
        <f>[1]Sheet1!H109</f>
        <v>0</v>
      </c>
    </row>
    <row r="110" spans="1:8" x14ac:dyDescent="0.15">
      <c r="A110" s="5">
        <f>[1]Sheet1!A110</f>
        <v>0</v>
      </c>
      <c r="B110" s="5">
        <f>[1]Sheet1!B110</f>
        <v>0</v>
      </c>
      <c r="C110" s="5">
        <f>[1]Sheet1!C110</f>
        <v>0</v>
      </c>
      <c r="D110" s="5">
        <f>[1]Sheet1!D110</f>
        <v>0</v>
      </c>
      <c r="E110" s="5">
        <f>[1]Sheet1!E110</f>
        <v>0</v>
      </c>
      <c r="F110" s="5">
        <f>[1]Sheet1!F110</f>
        <v>0</v>
      </c>
      <c r="G110" s="5">
        <f>[1]Sheet1!G110</f>
        <v>0</v>
      </c>
      <c r="H110" s="5">
        <f>[1]Sheet1!H110</f>
        <v>0</v>
      </c>
    </row>
    <row r="111" spans="1:8" x14ac:dyDescent="0.15">
      <c r="A111" s="5">
        <f>[1]Sheet1!A111</f>
        <v>0</v>
      </c>
      <c r="B111" s="5">
        <f>[1]Sheet1!B111</f>
        <v>0</v>
      </c>
      <c r="C111" s="5">
        <f>[1]Sheet1!C111</f>
        <v>0</v>
      </c>
      <c r="D111" s="5">
        <f>[1]Sheet1!D111</f>
        <v>0</v>
      </c>
      <c r="E111" s="5">
        <f>[1]Sheet1!E111</f>
        <v>0</v>
      </c>
      <c r="F111" s="5">
        <f>[1]Sheet1!F111</f>
        <v>0</v>
      </c>
      <c r="G111" s="5">
        <f>[1]Sheet1!G111</f>
        <v>0</v>
      </c>
      <c r="H111" s="5">
        <f>[1]Sheet1!H111</f>
        <v>0</v>
      </c>
    </row>
    <row r="112" spans="1:8" x14ac:dyDescent="0.15">
      <c r="A112" s="5">
        <f>[1]Sheet1!A112</f>
        <v>0</v>
      </c>
      <c r="B112" s="5">
        <f>[1]Sheet1!B112</f>
        <v>0</v>
      </c>
      <c r="C112" s="5">
        <f>[1]Sheet1!C112</f>
        <v>0</v>
      </c>
      <c r="D112" s="5">
        <f>[1]Sheet1!D112</f>
        <v>0</v>
      </c>
      <c r="E112" s="5">
        <f>[1]Sheet1!E112</f>
        <v>0</v>
      </c>
      <c r="F112" s="5">
        <f>[1]Sheet1!F112</f>
        <v>0</v>
      </c>
      <c r="G112" s="5">
        <f>[1]Sheet1!G112</f>
        <v>0</v>
      </c>
      <c r="H112" s="5">
        <f>[1]Sheet1!H112</f>
        <v>0</v>
      </c>
    </row>
    <row r="113" spans="1:8" x14ac:dyDescent="0.15">
      <c r="A113" s="5">
        <f>[1]Sheet1!A113</f>
        <v>0</v>
      </c>
      <c r="B113" s="5">
        <f>[1]Sheet1!B113</f>
        <v>0</v>
      </c>
      <c r="C113" s="5">
        <f>[1]Sheet1!C113</f>
        <v>0</v>
      </c>
      <c r="D113" s="5">
        <f>[1]Sheet1!D113</f>
        <v>0</v>
      </c>
      <c r="E113" s="5">
        <f>[1]Sheet1!E113</f>
        <v>0</v>
      </c>
      <c r="F113" s="5">
        <f>[1]Sheet1!F113</f>
        <v>0</v>
      </c>
      <c r="G113" s="5">
        <f>[1]Sheet1!G113</f>
        <v>0</v>
      </c>
      <c r="H113" s="5">
        <f>[1]Sheet1!H113</f>
        <v>0</v>
      </c>
    </row>
    <row r="114" spans="1:8" x14ac:dyDescent="0.15">
      <c r="A114" s="5">
        <f>[1]Sheet1!A114</f>
        <v>0</v>
      </c>
      <c r="B114" s="5">
        <f>[1]Sheet1!B114</f>
        <v>0</v>
      </c>
      <c r="C114" s="5">
        <f>[1]Sheet1!C114</f>
        <v>0</v>
      </c>
      <c r="D114" s="5">
        <f>[1]Sheet1!D114</f>
        <v>0</v>
      </c>
      <c r="E114" s="5">
        <f>[1]Sheet1!E114</f>
        <v>0</v>
      </c>
      <c r="F114" s="5">
        <f>[1]Sheet1!F114</f>
        <v>0</v>
      </c>
      <c r="G114" s="5">
        <f>[1]Sheet1!G114</f>
        <v>0</v>
      </c>
      <c r="H114" s="5">
        <f>[1]Sheet1!H114</f>
        <v>0</v>
      </c>
    </row>
    <row r="115" spans="1:8" x14ac:dyDescent="0.15">
      <c r="A115" s="5">
        <f>[1]Sheet1!A115</f>
        <v>0</v>
      </c>
      <c r="B115" s="5">
        <f>[1]Sheet1!B115</f>
        <v>0</v>
      </c>
      <c r="C115" s="5">
        <f>[1]Sheet1!C115</f>
        <v>0</v>
      </c>
      <c r="D115" s="5">
        <f>[1]Sheet1!D115</f>
        <v>0</v>
      </c>
      <c r="E115" s="5">
        <f>[1]Sheet1!E115</f>
        <v>0</v>
      </c>
      <c r="F115" s="5">
        <f>[1]Sheet1!F115</f>
        <v>0</v>
      </c>
      <c r="G115" s="5">
        <f>[1]Sheet1!G115</f>
        <v>0</v>
      </c>
      <c r="H115" s="5">
        <f>[1]Sheet1!H115</f>
        <v>0</v>
      </c>
    </row>
    <row r="116" spans="1:8" x14ac:dyDescent="0.15">
      <c r="A116" s="5">
        <f>[1]Sheet1!A116</f>
        <v>0</v>
      </c>
      <c r="B116" s="5">
        <f>[1]Sheet1!B116</f>
        <v>0</v>
      </c>
      <c r="C116" s="5">
        <f>[1]Sheet1!C116</f>
        <v>0</v>
      </c>
      <c r="D116" s="5">
        <f>[1]Sheet1!D116</f>
        <v>0</v>
      </c>
      <c r="E116" s="5">
        <f>[1]Sheet1!E116</f>
        <v>0</v>
      </c>
      <c r="F116" s="5">
        <f>[1]Sheet1!F116</f>
        <v>0</v>
      </c>
      <c r="G116" s="5">
        <f>[1]Sheet1!G116</f>
        <v>0</v>
      </c>
      <c r="H116" s="5">
        <f>[1]Sheet1!H116</f>
        <v>0</v>
      </c>
    </row>
    <row r="117" spans="1:8" x14ac:dyDescent="0.15">
      <c r="A117" s="5">
        <f>[1]Sheet1!A117</f>
        <v>0</v>
      </c>
      <c r="B117" s="5">
        <f>[1]Sheet1!B117</f>
        <v>0</v>
      </c>
      <c r="C117" s="5">
        <f>[1]Sheet1!C117</f>
        <v>0</v>
      </c>
      <c r="D117" s="5">
        <f>[1]Sheet1!D117</f>
        <v>0</v>
      </c>
      <c r="E117" s="5">
        <f>[1]Sheet1!E117</f>
        <v>0</v>
      </c>
      <c r="F117" s="5">
        <f>[1]Sheet1!F117</f>
        <v>0</v>
      </c>
      <c r="G117" s="5">
        <f>[1]Sheet1!G117</f>
        <v>0</v>
      </c>
      <c r="H117" s="5">
        <f>[1]Sheet1!H117</f>
        <v>0</v>
      </c>
    </row>
    <row r="118" spans="1:8" x14ac:dyDescent="0.15">
      <c r="A118" s="5">
        <f>[1]Sheet1!A118</f>
        <v>0</v>
      </c>
      <c r="B118" s="5">
        <f>[1]Sheet1!B118</f>
        <v>0</v>
      </c>
      <c r="C118" s="5">
        <f>[1]Sheet1!C118</f>
        <v>0</v>
      </c>
      <c r="D118" s="5">
        <f>[1]Sheet1!D118</f>
        <v>0</v>
      </c>
      <c r="E118" s="5">
        <f>[1]Sheet1!E118</f>
        <v>0</v>
      </c>
      <c r="F118" s="5">
        <f>[1]Sheet1!F118</f>
        <v>0</v>
      </c>
      <c r="G118" s="5">
        <f>[1]Sheet1!G118</f>
        <v>0</v>
      </c>
      <c r="H118" s="5">
        <f>[1]Sheet1!H118</f>
        <v>0</v>
      </c>
    </row>
    <row r="119" spans="1:8" x14ac:dyDescent="0.15">
      <c r="A119" s="5">
        <f>[1]Sheet1!A119</f>
        <v>0</v>
      </c>
      <c r="B119" s="5">
        <f>[1]Sheet1!B119</f>
        <v>0</v>
      </c>
      <c r="C119" s="5">
        <f>[1]Sheet1!C119</f>
        <v>0</v>
      </c>
      <c r="D119" s="5">
        <f>[1]Sheet1!D119</f>
        <v>0</v>
      </c>
      <c r="E119" s="5">
        <f>[1]Sheet1!E119</f>
        <v>0</v>
      </c>
      <c r="F119" s="5">
        <f>[1]Sheet1!F119</f>
        <v>0</v>
      </c>
      <c r="G119" s="5">
        <f>[1]Sheet1!G119</f>
        <v>0</v>
      </c>
      <c r="H119" s="5">
        <f>[1]Sheet1!H119</f>
        <v>0</v>
      </c>
    </row>
    <row r="120" spans="1:8" x14ac:dyDescent="0.15">
      <c r="A120" s="5">
        <f>[1]Sheet1!A120</f>
        <v>0</v>
      </c>
      <c r="B120" s="5">
        <f>[1]Sheet1!B120</f>
        <v>0</v>
      </c>
      <c r="C120" s="5">
        <f>[1]Sheet1!C120</f>
        <v>0</v>
      </c>
      <c r="D120" s="5">
        <f>[1]Sheet1!D120</f>
        <v>0</v>
      </c>
      <c r="E120" s="5">
        <f>[1]Sheet1!E120</f>
        <v>0</v>
      </c>
      <c r="F120" s="5">
        <f>[1]Sheet1!F120</f>
        <v>0</v>
      </c>
      <c r="G120" s="5">
        <f>[1]Sheet1!G120</f>
        <v>0</v>
      </c>
      <c r="H120" s="5">
        <f>[1]Sheet1!H120</f>
        <v>0</v>
      </c>
    </row>
    <row r="121" spans="1:8" x14ac:dyDescent="0.15">
      <c r="A121" s="5">
        <f>[1]Sheet1!A121</f>
        <v>0</v>
      </c>
      <c r="B121" s="5">
        <f>[1]Sheet1!B121</f>
        <v>0</v>
      </c>
      <c r="C121" s="5">
        <f>[1]Sheet1!C121</f>
        <v>0</v>
      </c>
      <c r="D121" s="5">
        <f>[1]Sheet1!D121</f>
        <v>0</v>
      </c>
      <c r="E121" s="5">
        <f>[1]Sheet1!E121</f>
        <v>0</v>
      </c>
      <c r="F121" s="5">
        <f>[1]Sheet1!F121</f>
        <v>0</v>
      </c>
      <c r="G121" s="5">
        <f>[1]Sheet1!G121</f>
        <v>0</v>
      </c>
      <c r="H121" s="5">
        <f>[1]Sheet1!H121</f>
        <v>0</v>
      </c>
    </row>
    <row r="122" spans="1:8" x14ac:dyDescent="0.15">
      <c r="A122" s="5">
        <f>[1]Sheet1!A122</f>
        <v>0</v>
      </c>
      <c r="B122" s="5">
        <f>[1]Sheet1!B122</f>
        <v>0</v>
      </c>
      <c r="C122" s="5">
        <f>[1]Sheet1!C122</f>
        <v>0</v>
      </c>
      <c r="D122" s="5">
        <f>[1]Sheet1!D122</f>
        <v>0</v>
      </c>
      <c r="E122" s="5">
        <f>[1]Sheet1!E122</f>
        <v>0</v>
      </c>
      <c r="F122" s="5">
        <f>[1]Sheet1!F122</f>
        <v>0</v>
      </c>
      <c r="G122" s="5">
        <f>[1]Sheet1!G122</f>
        <v>0</v>
      </c>
      <c r="H122" s="5">
        <f>[1]Sheet1!H122</f>
        <v>0</v>
      </c>
    </row>
    <row r="123" spans="1:8" x14ac:dyDescent="0.15">
      <c r="A123" s="5">
        <f>[1]Sheet1!A123</f>
        <v>0</v>
      </c>
      <c r="B123" s="5">
        <f>[1]Sheet1!B123</f>
        <v>0</v>
      </c>
      <c r="C123" s="5">
        <f>[1]Sheet1!C123</f>
        <v>0</v>
      </c>
      <c r="D123" s="5">
        <f>[1]Sheet1!D123</f>
        <v>0</v>
      </c>
      <c r="E123" s="5">
        <f>[1]Sheet1!E123</f>
        <v>0</v>
      </c>
      <c r="F123" s="5">
        <f>[1]Sheet1!F123</f>
        <v>0</v>
      </c>
      <c r="G123" s="5">
        <f>[1]Sheet1!G123</f>
        <v>0</v>
      </c>
      <c r="H123" s="5">
        <f>[1]Sheet1!H123</f>
        <v>0</v>
      </c>
    </row>
    <row r="124" spans="1:8" x14ac:dyDescent="0.15">
      <c r="A124" s="5">
        <f>[1]Sheet1!A124</f>
        <v>0</v>
      </c>
      <c r="B124" s="5">
        <f>[1]Sheet1!B124</f>
        <v>0</v>
      </c>
      <c r="C124" s="5">
        <f>[1]Sheet1!C124</f>
        <v>0</v>
      </c>
      <c r="D124" s="5">
        <f>[1]Sheet1!D124</f>
        <v>0</v>
      </c>
      <c r="E124" s="5">
        <f>[1]Sheet1!E124</f>
        <v>0</v>
      </c>
      <c r="F124" s="5">
        <f>[1]Sheet1!F124</f>
        <v>0</v>
      </c>
      <c r="G124" s="5">
        <f>[1]Sheet1!G124</f>
        <v>0</v>
      </c>
      <c r="H124" s="5">
        <f>[1]Sheet1!H124</f>
        <v>0</v>
      </c>
    </row>
    <row r="125" spans="1:8" x14ac:dyDescent="0.15">
      <c r="A125" s="5">
        <f>[1]Sheet1!A125</f>
        <v>0</v>
      </c>
      <c r="B125" s="5">
        <f>[1]Sheet1!B125</f>
        <v>0</v>
      </c>
      <c r="C125" s="5">
        <f>[1]Sheet1!C125</f>
        <v>0</v>
      </c>
      <c r="D125" s="5">
        <f>[1]Sheet1!D125</f>
        <v>0</v>
      </c>
      <c r="E125" s="5">
        <f>[1]Sheet1!E125</f>
        <v>0</v>
      </c>
      <c r="F125" s="5">
        <f>[1]Sheet1!F125</f>
        <v>0</v>
      </c>
      <c r="G125" s="5">
        <f>[1]Sheet1!G125</f>
        <v>0</v>
      </c>
      <c r="H125" s="5">
        <f>[1]Sheet1!H125</f>
        <v>0</v>
      </c>
    </row>
    <row r="126" spans="1:8" x14ac:dyDescent="0.15">
      <c r="A126" s="5">
        <f>[1]Sheet1!A126</f>
        <v>0</v>
      </c>
      <c r="B126" s="5">
        <f>[1]Sheet1!B126</f>
        <v>0</v>
      </c>
      <c r="C126" s="5">
        <f>[1]Sheet1!C126</f>
        <v>0</v>
      </c>
      <c r="D126" s="5">
        <f>[1]Sheet1!D126</f>
        <v>0</v>
      </c>
      <c r="E126" s="5">
        <f>[1]Sheet1!E126</f>
        <v>0</v>
      </c>
      <c r="F126" s="5">
        <f>[1]Sheet1!F126</f>
        <v>0</v>
      </c>
      <c r="G126" s="5">
        <f>[1]Sheet1!G126</f>
        <v>0</v>
      </c>
      <c r="H126" s="5">
        <f>[1]Sheet1!H126</f>
        <v>0</v>
      </c>
    </row>
    <row r="127" spans="1:8" x14ac:dyDescent="0.15">
      <c r="A127" s="5">
        <f>[1]Sheet1!A127</f>
        <v>0</v>
      </c>
      <c r="B127" s="5">
        <f>[1]Sheet1!B127</f>
        <v>0</v>
      </c>
      <c r="C127" s="5">
        <f>[1]Sheet1!C127</f>
        <v>0</v>
      </c>
      <c r="D127" s="5">
        <f>[1]Sheet1!D127</f>
        <v>0</v>
      </c>
      <c r="E127" s="5">
        <f>[1]Sheet1!E127</f>
        <v>0</v>
      </c>
      <c r="F127" s="5">
        <f>[1]Sheet1!F127</f>
        <v>0</v>
      </c>
      <c r="G127" s="5">
        <f>[1]Sheet1!G127</f>
        <v>0</v>
      </c>
      <c r="H127" s="5">
        <f>[1]Sheet1!H127</f>
        <v>0</v>
      </c>
    </row>
    <row r="128" spans="1:8" x14ac:dyDescent="0.15">
      <c r="A128" s="5">
        <f>[1]Sheet1!A128</f>
        <v>0</v>
      </c>
      <c r="B128" s="5">
        <f>[1]Sheet1!B128</f>
        <v>0</v>
      </c>
      <c r="C128" s="5">
        <f>[1]Sheet1!C128</f>
        <v>0</v>
      </c>
      <c r="D128" s="5">
        <f>[1]Sheet1!D128</f>
        <v>0</v>
      </c>
      <c r="E128" s="5">
        <f>[1]Sheet1!E128</f>
        <v>0</v>
      </c>
      <c r="F128" s="5">
        <f>[1]Sheet1!F128</f>
        <v>0</v>
      </c>
      <c r="G128" s="5">
        <f>[1]Sheet1!G128</f>
        <v>0</v>
      </c>
      <c r="H128" s="5">
        <f>[1]Sheet1!H128</f>
        <v>0</v>
      </c>
    </row>
    <row r="129" spans="1:8" x14ac:dyDescent="0.15">
      <c r="A129" s="5">
        <f>[1]Sheet1!A129</f>
        <v>0</v>
      </c>
      <c r="B129" s="5">
        <f>[1]Sheet1!B129</f>
        <v>0</v>
      </c>
      <c r="C129" s="5">
        <f>[1]Sheet1!C129</f>
        <v>0</v>
      </c>
      <c r="D129" s="5">
        <f>[1]Sheet1!D129</f>
        <v>0</v>
      </c>
      <c r="E129" s="5">
        <f>[1]Sheet1!E129</f>
        <v>0</v>
      </c>
      <c r="F129" s="5">
        <f>[1]Sheet1!F129</f>
        <v>0</v>
      </c>
      <c r="G129" s="5">
        <f>[1]Sheet1!G129</f>
        <v>0</v>
      </c>
      <c r="H129" s="5">
        <f>[1]Sheet1!H129</f>
        <v>0</v>
      </c>
    </row>
    <row r="130" spans="1:8" x14ac:dyDescent="0.15">
      <c r="A130" s="5">
        <f>[1]Sheet1!A130</f>
        <v>0</v>
      </c>
      <c r="B130" s="5">
        <f>[1]Sheet1!B130</f>
        <v>0</v>
      </c>
      <c r="C130" s="5">
        <f>[1]Sheet1!C130</f>
        <v>0</v>
      </c>
      <c r="D130" s="5">
        <f>[1]Sheet1!D130</f>
        <v>0</v>
      </c>
      <c r="E130" s="5">
        <f>[1]Sheet1!E130</f>
        <v>0</v>
      </c>
      <c r="F130" s="5">
        <f>[1]Sheet1!F130</f>
        <v>0</v>
      </c>
      <c r="G130" s="5">
        <f>[1]Sheet1!G130</f>
        <v>0</v>
      </c>
      <c r="H130" s="5">
        <f>[1]Sheet1!H130</f>
        <v>0</v>
      </c>
    </row>
    <row r="131" spans="1:8" x14ac:dyDescent="0.15">
      <c r="A131" s="5">
        <f>[1]Sheet1!A131</f>
        <v>0</v>
      </c>
      <c r="B131" s="5">
        <f>[1]Sheet1!B131</f>
        <v>0</v>
      </c>
      <c r="C131" s="5">
        <f>[1]Sheet1!C131</f>
        <v>0</v>
      </c>
      <c r="D131" s="5">
        <f>[1]Sheet1!D131</f>
        <v>0</v>
      </c>
      <c r="E131" s="5">
        <f>[1]Sheet1!E131</f>
        <v>0</v>
      </c>
      <c r="F131" s="5">
        <f>[1]Sheet1!F131</f>
        <v>0</v>
      </c>
      <c r="G131" s="5">
        <f>[1]Sheet1!G131</f>
        <v>0</v>
      </c>
      <c r="H131" s="5">
        <f>[1]Sheet1!H131</f>
        <v>0</v>
      </c>
    </row>
    <row r="132" spans="1:8" x14ac:dyDescent="0.15">
      <c r="A132" s="5">
        <f>[1]Sheet1!A132</f>
        <v>0</v>
      </c>
      <c r="B132" s="5">
        <f>[1]Sheet1!B132</f>
        <v>0</v>
      </c>
      <c r="C132" s="5">
        <f>[1]Sheet1!C132</f>
        <v>0</v>
      </c>
      <c r="D132" s="5">
        <f>[1]Sheet1!D132</f>
        <v>0</v>
      </c>
      <c r="E132" s="5">
        <f>[1]Sheet1!E132</f>
        <v>0</v>
      </c>
      <c r="F132" s="5">
        <f>[1]Sheet1!F132</f>
        <v>0</v>
      </c>
      <c r="G132" s="5">
        <f>[1]Sheet1!G132</f>
        <v>0</v>
      </c>
      <c r="H132" s="5">
        <f>[1]Sheet1!H132</f>
        <v>0</v>
      </c>
    </row>
    <row r="133" spans="1:8" x14ac:dyDescent="0.15">
      <c r="A133" s="5">
        <f>[1]Sheet1!A133</f>
        <v>0</v>
      </c>
      <c r="B133" s="5">
        <f>[1]Sheet1!B133</f>
        <v>0</v>
      </c>
      <c r="C133" s="5">
        <f>[1]Sheet1!C133</f>
        <v>0</v>
      </c>
      <c r="D133" s="5">
        <f>[1]Sheet1!D133</f>
        <v>0</v>
      </c>
      <c r="E133" s="5">
        <f>[1]Sheet1!E133</f>
        <v>0</v>
      </c>
      <c r="F133" s="5">
        <f>[1]Sheet1!F133</f>
        <v>0</v>
      </c>
      <c r="G133" s="5">
        <f>[1]Sheet1!G133</f>
        <v>0</v>
      </c>
      <c r="H133" s="5">
        <f>[1]Sheet1!H133</f>
        <v>0</v>
      </c>
    </row>
    <row r="134" spans="1:8" x14ac:dyDescent="0.15">
      <c r="A134" s="5">
        <f>[1]Sheet1!A134</f>
        <v>0</v>
      </c>
      <c r="B134" s="5">
        <f>[1]Sheet1!B134</f>
        <v>0</v>
      </c>
      <c r="C134" s="5">
        <f>[1]Sheet1!C134</f>
        <v>0</v>
      </c>
      <c r="D134" s="5">
        <f>[1]Sheet1!D134</f>
        <v>0</v>
      </c>
      <c r="E134" s="5">
        <f>[1]Sheet1!E134</f>
        <v>0</v>
      </c>
      <c r="F134" s="5">
        <f>[1]Sheet1!F134</f>
        <v>0</v>
      </c>
      <c r="G134" s="5">
        <f>[1]Sheet1!G134</f>
        <v>0</v>
      </c>
      <c r="H134" s="5">
        <f>[1]Sheet1!H134</f>
        <v>0</v>
      </c>
    </row>
    <row r="135" spans="1:8" x14ac:dyDescent="0.15">
      <c r="A135" s="5">
        <f>[1]Sheet1!A135</f>
        <v>0</v>
      </c>
      <c r="B135" s="5">
        <f>[1]Sheet1!B135</f>
        <v>0</v>
      </c>
      <c r="C135" s="5">
        <f>[1]Sheet1!C135</f>
        <v>0</v>
      </c>
      <c r="D135" s="5">
        <f>[1]Sheet1!D135</f>
        <v>0</v>
      </c>
      <c r="E135" s="5">
        <f>[1]Sheet1!E135</f>
        <v>0</v>
      </c>
      <c r="F135" s="5">
        <f>[1]Sheet1!F135</f>
        <v>0</v>
      </c>
      <c r="G135" s="5">
        <f>[1]Sheet1!G135</f>
        <v>0</v>
      </c>
      <c r="H135" s="5">
        <f>[1]Sheet1!H135</f>
        <v>0</v>
      </c>
    </row>
    <row r="136" spans="1:8" x14ac:dyDescent="0.15">
      <c r="A136" s="5">
        <f>[1]Sheet1!A136</f>
        <v>0</v>
      </c>
      <c r="B136" s="5">
        <f>[1]Sheet1!B136</f>
        <v>0</v>
      </c>
      <c r="C136" s="5">
        <f>[1]Sheet1!C136</f>
        <v>0</v>
      </c>
      <c r="D136" s="5">
        <f>[1]Sheet1!D136</f>
        <v>0</v>
      </c>
      <c r="E136" s="5">
        <f>[1]Sheet1!E136</f>
        <v>0</v>
      </c>
      <c r="F136" s="5">
        <f>[1]Sheet1!F136</f>
        <v>0</v>
      </c>
      <c r="G136" s="5">
        <f>[1]Sheet1!G136</f>
        <v>0</v>
      </c>
      <c r="H136" s="5">
        <f>[1]Sheet1!H136</f>
        <v>0</v>
      </c>
    </row>
    <row r="137" spans="1:8" x14ac:dyDescent="0.15">
      <c r="A137" s="5">
        <f>[1]Sheet1!A137</f>
        <v>0</v>
      </c>
      <c r="B137" s="5">
        <f>[1]Sheet1!B137</f>
        <v>0</v>
      </c>
      <c r="C137" s="5">
        <f>[1]Sheet1!C137</f>
        <v>0</v>
      </c>
      <c r="D137" s="5">
        <f>[1]Sheet1!D137</f>
        <v>0</v>
      </c>
      <c r="E137" s="5">
        <f>[1]Sheet1!E137</f>
        <v>0</v>
      </c>
      <c r="F137" s="5">
        <f>[1]Sheet1!F137</f>
        <v>0</v>
      </c>
      <c r="G137" s="5">
        <f>[1]Sheet1!G137</f>
        <v>0</v>
      </c>
      <c r="H137" s="5">
        <f>[1]Sheet1!H137</f>
        <v>0</v>
      </c>
    </row>
    <row r="138" spans="1:8" x14ac:dyDescent="0.15">
      <c r="A138" s="5">
        <f>[1]Sheet1!A138</f>
        <v>0</v>
      </c>
      <c r="B138" s="5">
        <f>[1]Sheet1!B138</f>
        <v>0</v>
      </c>
      <c r="C138" s="5">
        <f>[1]Sheet1!C138</f>
        <v>0</v>
      </c>
      <c r="D138" s="5">
        <f>[1]Sheet1!D138</f>
        <v>0</v>
      </c>
      <c r="E138" s="5">
        <f>[1]Sheet1!E138</f>
        <v>0</v>
      </c>
      <c r="F138" s="5">
        <f>[1]Sheet1!F138</f>
        <v>0</v>
      </c>
      <c r="G138" s="5">
        <f>[1]Sheet1!G138</f>
        <v>0</v>
      </c>
      <c r="H138" s="5">
        <f>[1]Sheet1!H138</f>
        <v>0</v>
      </c>
    </row>
    <row r="139" spans="1:8" x14ac:dyDescent="0.15">
      <c r="A139" s="5">
        <f>[1]Sheet1!A139</f>
        <v>0</v>
      </c>
      <c r="B139" s="5">
        <f>[1]Sheet1!B139</f>
        <v>0</v>
      </c>
      <c r="C139" s="5">
        <f>[1]Sheet1!C139</f>
        <v>0</v>
      </c>
      <c r="D139" s="5">
        <f>[1]Sheet1!D139</f>
        <v>0</v>
      </c>
      <c r="E139" s="5">
        <f>[1]Sheet1!E139</f>
        <v>0</v>
      </c>
      <c r="F139" s="5">
        <f>[1]Sheet1!F139</f>
        <v>0</v>
      </c>
      <c r="G139" s="5">
        <f>[1]Sheet1!G139</f>
        <v>0</v>
      </c>
      <c r="H139" s="5">
        <f>[1]Sheet1!H139</f>
        <v>0</v>
      </c>
    </row>
    <row r="140" spans="1:8" x14ac:dyDescent="0.15">
      <c r="A140" s="5">
        <f>[1]Sheet1!A140</f>
        <v>0</v>
      </c>
      <c r="B140" s="5">
        <f>[1]Sheet1!B140</f>
        <v>0</v>
      </c>
      <c r="C140" s="5">
        <f>[1]Sheet1!C140</f>
        <v>0</v>
      </c>
      <c r="D140" s="5">
        <f>[1]Sheet1!D140</f>
        <v>0</v>
      </c>
      <c r="E140" s="5">
        <f>[1]Sheet1!E140</f>
        <v>0</v>
      </c>
      <c r="F140" s="5">
        <f>[1]Sheet1!F140</f>
        <v>0</v>
      </c>
      <c r="G140" s="5">
        <f>[1]Sheet1!G140</f>
        <v>0</v>
      </c>
      <c r="H140" s="5">
        <f>[1]Sheet1!H140</f>
        <v>0</v>
      </c>
    </row>
    <row r="141" spans="1:8" x14ac:dyDescent="0.15">
      <c r="A141" s="5">
        <f>[1]Sheet1!A141</f>
        <v>0</v>
      </c>
      <c r="B141" s="5">
        <f>[1]Sheet1!B141</f>
        <v>0</v>
      </c>
      <c r="C141" s="5">
        <f>[1]Sheet1!C141</f>
        <v>0</v>
      </c>
      <c r="D141" s="5">
        <f>[1]Sheet1!D141</f>
        <v>0</v>
      </c>
      <c r="E141" s="5">
        <f>[1]Sheet1!E141</f>
        <v>0</v>
      </c>
      <c r="F141" s="5">
        <f>[1]Sheet1!F141</f>
        <v>0</v>
      </c>
      <c r="G141" s="5">
        <f>[1]Sheet1!G141</f>
        <v>0</v>
      </c>
      <c r="H141" s="5">
        <f>[1]Sheet1!H141</f>
        <v>0</v>
      </c>
    </row>
    <row r="142" spans="1:8" x14ac:dyDescent="0.15">
      <c r="A142" s="5">
        <f>[1]Sheet1!A142</f>
        <v>0</v>
      </c>
      <c r="B142" s="5">
        <f>[1]Sheet1!B142</f>
        <v>0</v>
      </c>
      <c r="C142" s="5">
        <f>[1]Sheet1!C142</f>
        <v>0</v>
      </c>
      <c r="D142" s="5">
        <f>[1]Sheet1!D142</f>
        <v>0</v>
      </c>
      <c r="E142" s="5">
        <f>[1]Sheet1!E142</f>
        <v>0</v>
      </c>
      <c r="F142" s="5">
        <f>[1]Sheet1!F142</f>
        <v>0</v>
      </c>
      <c r="G142" s="5">
        <f>[1]Sheet1!G142</f>
        <v>0</v>
      </c>
      <c r="H142" s="5">
        <f>[1]Sheet1!H142</f>
        <v>0</v>
      </c>
    </row>
    <row r="143" spans="1:8" x14ac:dyDescent="0.15">
      <c r="A143" s="5">
        <f>[1]Sheet1!A143</f>
        <v>0</v>
      </c>
      <c r="B143" s="5">
        <f>[1]Sheet1!B143</f>
        <v>0</v>
      </c>
      <c r="C143" s="5">
        <f>[1]Sheet1!C143</f>
        <v>0</v>
      </c>
      <c r="D143" s="5">
        <f>[1]Sheet1!D143</f>
        <v>0</v>
      </c>
      <c r="E143" s="5">
        <f>[1]Sheet1!E143</f>
        <v>0</v>
      </c>
      <c r="F143" s="5">
        <f>[1]Sheet1!F143</f>
        <v>0</v>
      </c>
      <c r="G143" s="5">
        <f>[1]Sheet1!G143</f>
        <v>0</v>
      </c>
      <c r="H143" s="5">
        <f>[1]Sheet1!H143</f>
        <v>0</v>
      </c>
    </row>
    <row r="144" spans="1:8" x14ac:dyDescent="0.15">
      <c r="A144" s="5">
        <f>[1]Sheet1!A144</f>
        <v>0</v>
      </c>
      <c r="B144" s="5">
        <f>[1]Sheet1!B144</f>
        <v>0</v>
      </c>
      <c r="C144" s="5">
        <f>[1]Sheet1!C144</f>
        <v>0</v>
      </c>
      <c r="D144" s="5">
        <f>[1]Sheet1!D144</f>
        <v>0</v>
      </c>
      <c r="E144" s="5">
        <f>[1]Sheet1!E144</f>
        <v>0</v>
      </c>
      <c r="F144" s="5">
        <f>[1]Sheet1!F144</f>
        <v>0</v>
      </c>
      <c r="G144" s="5">
        <f>[1]Sheet1!G144</f>
        <v>0</v>
      </c>
      <c r="H144" s="5">
        <f>[1]Sheet1!H144</f>
        <v>0</v>
      </c>
    </row>
    <row r="145" spans="1:8" x14ac:dyDescent="0.15">
      <c r="A145" s="5">
        <f>[1]Sheet1!A145</f>
        <v>0</v>
      </c>
      <c r="B145" s="5">
        <f>[1]Sheet1!B145</f>
        <v>0</v>
      </c>
      <c r="C145" s="5">
        <f>[1]Sheet1!C145</f>
        <v>0</v>
      </c>
      <c r="D145" s="5">
        <f>[1]Sheet1!D145</f>
        <v>0</v>
      </c>
      <c r="E145" s="5">
        <f>[1]Sheet1!E145</f>
        <v>0</v>
      </c>
      <c r="F145" s="5">
        <f>[1]Sheet1!F145</f>
        <v>0</v>
      </c>
      <c r="G145" s="5">
        <f>[1]Sheet1!G145</f>
        <v>0</v>
      </c>
      <c r="H145" s="5">
        <f>[1]Sheet1!H145</f>
        <v>0</v>
      </c>
    </row>
    <row r="146" spans="1:8" x14ac:dyDescent="0.15">
      <c r="A146" s="5">
        <f>[1]Sheet1!A146</f>
        <v>0</v>
      </c>
      <c r="B146" s="5">
        <f>[1]Sheet1!B146</f>
        <v>0</v>
      </c>
      <c r="C146" s="5">
        <f>[1]Sheet1!C146</f>
        <v>0</v>
      </c>
      <c r="D146" s="5">
        <f>[1]Sheet1!D146</f>
        <v>0</v>
      </c>
      <c r="E146" s="5">
        <f>[1]Sheet1!E146</f>
        <v>0</v>
      </c>
      <c r="F146" s="5">
        <f>[1]Sheet1!F146</f>
        <v>0</v>
      </c>
      <c r="G146" s="5">
        <f>[1]Sheet1!G146</f>
        <v>0</v>
      </c>
      <c r="H146" s="5">
        <f>[1]Sheet1!H146</f>
        <v>0</v>
      </c>
    </row>
    <row r="147" spans="1:8" x14ac:dyDescent="0.15">
      <c r="A147" s="5">
        <f>[1]Sheet1!A147</f>
        <v>0</v>
      </c>
      <c r="B147" s="5">
        <f>[1]Sheet1!B147</f>
        <v>0</v>
      </c>
      <c r="C147" s="5">
        <f>[1]Sheet1!C147</f>
        <v>0</v>
      </c>
      <c r="D147" s="5">
        <f>[1]Sheet1!D147</f>
        <v>0</v>
      </c>
      <c r="E147" s="5">
        <f>[1]Sheet1!E147</f>
        <v>0</v>
      </c>
      <c r="F147" s="5">
        <f>[1]Sheet1!F147</f>
        <v>0</v>
      </c>
      <c r="G147" s="5">
        <f>[1]Sheet1!G147</f>
        <v>0</v>
      </c>
      <c r="H147" s="5">
        <f>[1]Sheet1!H147</f>
        <v>0</v>
      </c>
    </row>
    <row r="148" spans="1:8" x14ac:dyDescent="0.15">
      <c r="A148" s="5">
        <f>[1]Sheet1!A148</f>
        <v>0</v>
      </c>
      <c r="B148" s="5">
        <f>[1]Sheet1!B148</f>
        <v>0</v>
      </c>
      <c r="C148" s="5">
        <f>[1]Sheet1!C148</f>
        <v>0</v>
      </c>
      <c r="D148" s="5">
        <f>[1]Sheet1!D148</f>
        <v>0</v>
      </c>
      <c r="E148" s="5">
        <f>[1]Sheet1!E148</f>
        <v>0</v>
      </c>
      <c r="F148" s="5">
        <f>[1]Sheet1!F148</f>
        <v>0</v>
      </c>
      <c r="G148" s="5">
        <f>[1]Sheet1!G148</f>
        <v>0</v>
      </c>
      <c r="H148" s="5">
        <f>[1]Sheet1!H148</f>
        <v>0</v>
      </c>
    </row>
    <row r="149" spans="1:8" x14ac:dyDescent="0.15">
      <c r="A149" s="5">
        <f>[1]Sheet1!A149</f>
        <v>0</v>
      </c>
      <c r="B149" s="5">
        <f>[1]Sheet1!B149</f>
        <v>0</v>
      </c>
      <c r="C149" s="5">
        <f>[1]Sheet1!C149</f>
        <v>0</v>
      </c>
      <c r="D149" s="5">
        <f>[1]Sheet1!D149</f>
        <v>0</v>
      </c>
      <c r="E149" s="5">
        <f>[1]Sheet1!E149</f>
        <v>0</v>
      </c>
      <c r="F149" s="5">
        <f>[1]Sheet1!F149</f>
        <v>0</v>
      </c>
      <c r="G149" s="5">
        <f>[1]Sheet1!G149</f>
        <v>0</v>
      </c>
      <c r="H149" s="5">
        <f>[1]Sheet1!H149</f>
        <v>0</v>
      </c>
    </row>
    <row r="150" spans="1:8" x14ac:dyDescent="0.15">
      <c r="A150" s="5">
        <f>[1]Sheet1!A150</f>
        <v>0</v>
      </c>
      <c r="B150" s="5">
        <f>[1]Sheet1!B150</f>
        <v>0</v>
      </c>
      <c r="C150" s="5">
        <f>[1]Sheet1!C150</f>
        <v>0</v>
      </c>
      <c r="D150" s="5">
        <f>[1]Sheet1!D150</f>
        <v>0</v>
      </c>
      <c r="E150" s="5">
        <f>[1]Sheet1!E150</f>
        <v>0</v>
      </c>
      <c r="F150" s="5">
        <f>[1]Sheet1!F150</f>
        <v>0</v>
      </c>
      <c r="G150" s="5">
        <f>[1]Sheet1!G150</f>
        <v>0</v>
      </c>
      <c r="H150" s="5">
        <f>[1]Sheet1!H150</f>
        <v>0</v>
      </c>
    </row>
    <row r="151" spans="1:8" x14ac:dyDescent="0.15">
      <c r="A151" s="5">
        <f>[1]Sheet1!A151</f>
        <v>0</v>
      </c>
      <c r="B151" s="5">
        <f>[1]Sheet1!B151</f>
        <v>0</v>
      </c>
      <c r="C151" s="5">
        <f>[1]Sheet1!C151</f>
        <v>0</v>
      </c>
      <c r="D151" s="5">
        <f>[1]Sheet1!D151</f>
        <v>0</v>
      </c>
      <c r="E151" s="5">
        <f>[1]Sheet1!E151</f>
        <v>0</v>
      </c>
      <c r="F151" s="5">
        <f>[1]Sheet1!F151</f>
        <v>0</v>
      </c>
      <c r="G151" s="5">
        <f>[1]Sheet1!G151</f>
        <v>0</v>
      </c>
      <c r="H151" s="5">
        <f>[1]Sheet1!H151</f>
        <v>0</v>
      </c>
    </row>
    <row r="152" spans="1:8" x14ac:dyDescent="0.15">
      <c r="A152" s="5">
        <f>[1]Sheet1!A152</f>
        <v>0</v>
      </c>
      <c r="B152" s="5">
        <f>[1]Sheet1!B152</f>
        <v>0</v>
      </c>
      <c r="C152" s="5">
        <f>[1]Sheet1!C152</f>
        <v>0</v>
      </c>
      <c r="D152" s="5">
        <f>[1]Sheet1!D152</f>
        <v>0</v>
      </c>
      <c r="E152" s="5">
        <f>[1]Sheet1!E152</f>
        <v>0</v>
      </c>
      <c r="F152" s="5">
        <f>[1]Sheet1!F152</f>
        <v>0</v>
      </c>
      <c r="G152" s="5">
        <f>[1]Sheet1!G152</f>
        <v>0</v>
      </c>
      <c r="H152" s="5">
        <f>[1]Sheet1!H152</f>
        <v>0</v>
      </c>
    </row>
    <row r="153" spans="1:8" x14ac:dyDescent="0.15">
      <c r="A153" s="5">
        <f>[1]Sheet1!A153</f>
        <v>0</v>
      </c>
      <c r="B153" s="5">
        <f>[1]Sheet1!B153</f>
        <v>0</v>
      </c>
      <c r="C153" s="5">
        <f>[1]Sheet1!C153</f>
        <v>0</v>
      </c>
      <c r="D153" s="5">
        <f>[1]Sheet1!D153</f>
        <v>0</v>
      </c>
      <c r="E153" s="5">
        <f>[1]Sheet1!E153</f>
        <v>0</v>
      </c>
      <c r="F153" s="5">
        <f>[1]Sheet1!F153</f>
        <v>0</v>
      </c>
      <c r="G153" s="5">
        <f>[1]Sheet1!G153</f>
        <v>0</v>
      </c>
      <c r="H153" s="5">
        <f>[1]Sheet1!H153</f>
        <v>0</v>
      </c>
    </row>
    <row r="154" spans="1:8" x14ac:dyDescent="0.15">
      <c r="A154" s="5">
        <f>[1]Sheet1!A154</f>
        <v>0</v>
      </c>
      <c r="B154" s="5">
        <f>[1]Sheet1!B154</f>
        <v>0</v>
      </c>
      <c r="C154" s="5">
        <f>[1]Sheet1!C154</f>
        <v>0</v>
      </c>
      <c r="D154" s="5">
        <f>[1]Sheet1!D154</f>
        <v>0</v>
      </c>
      <c r="E154" s="5">
        <f>[1]Sheet1!E154</f>
        <v>0</v>
      </c>
      <c r="F154" s="5">
        <f>[1]Sheet1!F154</f>
        <v>0</v>
      </c>
      <c r="G154" s="5">
        <f>[1]Sheet1!G154</f>
        <v>0</v>
      </c>
      <c r="H154" s="5">
        <f>[1]Sheet1!H154</f>
        <v>0</v>
      </c>
    </row>
    <row r="155" spans="1:8" x14ac:dyDescent="0.15">
      <c r="A155" s="5">
        <f>[1]Sheet1!A155</f>
        <v>0</v>
      </c>
      <c r="B155" s="5">
        <f>[1]Sheet1!B155</f>
        <v>0</v>
      </c>
      <c r="C155" s="5">
        <f>[1]Sheet1!C155</f>
        <v>0</v>
      </c>
      <c r="D155" s="5">
        <f>[1]Sheet1!D155</f>
        <v>0</v>
      </c>
      <c r="E155" s="5">
        <f>[1]Sheet1!E155</f>
        <v>0</v>
      </c>
      <c r="F155" s="5">
        <f>[1]Sheet1!F155</f>
        <v>0</v>
      </c>
      <c r="G155" s="5">
        <f>[1]Sheet1!G155</f>
        <v>0</v>
      </c>
      <c r="H155" s="5">
        <f>[1]Sheet1!H155</f>
        <v>0</v>
      </c>
    </row>
    <row r="156" spans="1:8" x14ac:dyDescent="0.15">
      <c r="A156" s="5">
        <f>[1]Sheet1!A156</f>
        <v>0</v>
      </c>
      <c r="B156" s="5">
        <f>[1]Sheet1!B156</f>
        <v>0</v>
      </c>
      <c r="C156" s="5">
        <f>[1]Sheet1!C156</f>
        <v>0</v>
      </c>
      <c r="D156" s="5">
        <f>[1]Sheet1!D156</f>
        <v>0</v>
      </c>
      <c r="E156" s="5">
        <f>[1]Sheet1!E156</f>
        <v>0</v>
      </c>
      <c r="F156" s="5">
        <f>[1]Sheet1!F156</f>
        <v>0</v>
      </c>
      <c r="G156" s="5">
        <f>[1]Sheet1!G156</f>
        <v>0</v>
      </c>
      <c r="H156" s="5">
        <f>[1]Sheet1!H156</f>
        <v>0</v>
      </c>
    </row>
    <row r="157" spans="1:8" x14ac:dyDescent="0.15">
      <c r="A157" s="5">
        <f>[1]Sheet1!A157</f>
        <v>0</v>
      </c>
      <c r="B157" s="5">
        <f>[1]Sheet1!B157</f>
        <v>0</v>
      </c>
      <c r="C157" s="5">
        <f>[1]Sheet1!C157</f>
        <v>0</v>
      </c>
      <c r="D157" s="5">
        <f>[1]Sheet1!D157</f>
        <v>0</v>
      </c>
      <c r="E157" s="5">
        <f>[1]Sheet1!E157</f>
        <v>0</v>
      </c>
      <c r="F157" s="5">
        <f>[1]Sheet1!F157</f>
        <v>0</v>
      </c>
      <c r="G157" s="5">
        <f>[1]Sheet1!G157</f>
        <v>0</v>
      </c>
      <c r="H157" s="5">
        <f>[1]Sheet1!H157</f>
        <v>0</v>
      </c>
    </row>
    <row r="158" spans="1:8" x14ac:dyDescent="0.15">
      <c r="A158" s="5">
        <f>[1]Sheet1!A158</f>
        <v>0</v>
      </c>
      <c r="B158" s="5">
        <f>[1]Sheet1!B158</f>
        <v>0</v>
      </c>
      <c r="C158" s="5">
        <f>[1]Sheet1!C158</f>
        <v>0</v>
      </c>
      <c r="D158" s="5">
        <f>[1]Sheet1!D158</f>
        <v>0</v>
      </c>
      <c r="E158" s="5">
        <f>[1]Sheet1!E158</f>
        <v>0</v>
      </c>
      <c r="F158" s="5">
        <f>[1]Sheet1!F158</f>
        <v>0</v>
      </c>
      <c r="G158" s="5">
        <f>[1]Sheet1!G158</f>
        <v>0</v>
      </c>
      <c r="H158" s="5">
        <f>[1]Sheet1!H158</f>
        <v>0</v>
      </c>
    </row>
    <row r="159" spans="1:8" x14ac:dyDescent="0.15">
      <c r="A159" s="5">
        <f>[1]Sheet1!A159</f>
        <v>0</v>
      </c>
      <c r="B159" s="5">
        <f>[1]Sheet1!B159</f>
        <v>0</v>
      </c>
      <c r="C159" s="5">
        <f>[1]Sheet1!C159</f>
        <v>0</v>
      </c>
      <c r="D159" s="5">
        <f>[1]Sheet1!D159</f>
        <v>0</v>
      </c>
      <c r="E159" s="5">
        <f>[1]Sheet1!E159</f>
        <v>0</v>
      </c>
      <c r="F159" s="5">
        <f>[1]Sheet1!F159</f>
        <v>0</v>
      </c>
      <c r="G159" s="5">
        <f>[1]Sheet1!G159</f>
        <v>0</v>
      </c>
      <c r="H159" s="5">
        <f>[1]Sheet1!H159</f>
        <v>0</v>
      </c>
    </row>
    <row r="160" spans="1:8" x14ac:dyDescent="0.15">
      <c r="A160" s="5">
        <f>[1]Sheet1!A160</f>
        <v>0</v>
      </c>
      <c r="B160" s="5">
        <f>[1]Sheet1!B160</f>
        <v>0</v>
      </c>
      <c r="C160" s="5">
        <f>[1]Sheet1!C160</f>
        <v>0</v>
      </c>
      <c r="D160" s="5">
        <f>[1]Sheet1!D160</f>
        <v>0</v>
      </c>
      <c r="E160" s="5">
        <f>[1]Sheet1!E160</f>
        <v>0</v>
      </c>
      <c r="F160" s="5">
        <f>[1]Sheet1!F160</f>
        <v>0</v>
      </c>
      <c r="G160" s="5">
        <f>[1]Sheet1!G160</f>
        <v>0</v>
      </c>
      <c r="H160" s="5">
        <f>[1]Sheet1!H160</f>
        <v>0</v>
      </c>
    </row>
    <row r="161" spans="1:8" x14ac:dyDescent="0.15">
      <c r="A161" s="5">
        <f>[1]Sheet1!A161</f>
        <v>0</v>
      </c>
      <c r="B161" s="5">
        <f>[1]Sheet1!B161</f>
        <v>0</v>
      </c>
      <c r="C161" s="5">
        <f>[1]Sheet1!C161</f>
        <v>0</v>
      </c>
      <c r="D161" s="5">
        <f>[1]Sheet1!D161</f>
        <v>0</v>
      </c>
      <c r="E161" s="5">
        <f>[1]Sheet1!E161</f>
        <v>0</v>
      </c>
      <c r="F161" s="5">
        <f>[1]Sheet1!F161</f>
        <v>0</v>
      </c>
      <c r="G161" s="5">
        <f>[1]Sheet1!G161</f>
        <v>0</v>
      </c>
      <c r="H161" s="5">
        <f>[1]Sheet1!H161</f>
        <v>0</v>
      </c>
    </row>
    <row r="162" spans="1:8" x14ac:dyDescent="0.15">
      <c r="A162" s="5">
        <f>[1]Sheet1!A162</f>
        <v>0</v>
      </c>
      <c r="B162" s="5">
        <f>[1]Sheet1!B162</f>
        <v>0</v>
      </c>
      <c r="C162" s="5">
        <f>[1]Sheet1!C162</f>
        <v>0</v>
      </c>
      <c r="D162" s="5">
        <f>[1]Sheet1!D162</f>
        <v>0</v>
      </c>
      <c r="E162" s="5">
        <f>[1]Sheet1!E162</f>
        <v>0</v>
      </c>
      <c r="F162" s="5">
        <f>[1]Sheet1!F162</f>
        <v>0</v>
      </c>
      <c r="G162" s="5">
        <f>[1]Sheet1!G162</f>
        <v>0</v>
      </c>
      <c r="H162" s="5">
        <f>[1]Sheet1!H162</f>
        <v>0</v>
      </c>
    </row>
    <row r="163" spans="1:8" x14ac:dyDescent="0.15">
      <c r="A163" s="5">
        <f>[1]Sheet1!A163</f>
        <v>0</v>
      </c>
      <c r="B163" s="5">
        <f>[1]Sheet1!B163</f>
        <v>0</v>
      </c>
      <c r="C163" s="5">
        <f>[1]Sheet1!C163</f>
        <v>0</v>
      </c>
      <c r="D163" s="5">
        <f>[1]Sheet1!D163</f>
        <v>0</v>
      </c>
      <c r="E163" s="5">
        <f>[1]Sheet1!E163</f>
        <v>0</v>
      </c>
      <c r="F163" s="5">
        <f>[1]Sheet1!F163</f>
        <v>0</v>
      </c>
      <c r="G163" s="5">
        <f>[1]Sheet1!G163</f>
        <v>0</v>
      </c>
      <c r="H163" s="5">
        <f>[1]Sheet1!H163</f>
        <v>0</v>
      </c>
    </row>
  </sheetData>
  <phoneticPr fontId="1" type="noConversion"/>
  <conditionalFormatting sqref="D7:G7 D2:G2 D4:G4">
    <cfRule type="expression" dxfId="3" priority="13">
      <formula>#REF!=""</formula>
    </cfRule>
  </conditionalFormatting>
  <conditionalFormatting sqref="D6:G6">
    <cfRule type="expression" dxfId="2" priority="6">
      <formula>D$36=""</formula>
    </cfRule>
  </conditionalFormatting>
  <conditionalFormatting sqref="D5:G5">
    <cfRule type="expression" dxfId="1" priority="2">
      <formula>#REF!=""</formula>
    </cfRule>
  </conditionalFormatting>
  <conditionalFormatting sqref="D3:G3">
    <cfRule type="expression" dxfId="0" priority="1">
      <formula>#REF!=""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摘要</vt:lpstr>
      <vt:lpstr>B1 PRX</vt:lpstr>
      <vt:lpstr>B1 DRX</vt:lpstr>
      <vt:lpstr>B3 PRX</vt:lpstr>
      <vt:lpstr>B3 DRX</vt:lpstr>
      <vt:lpstr>B7 PRX</vt:lpstr>
      <vt:lpstr>B7 DRX</vt:lpstr>
      <vt:lpstr>B8 PRX</vt:lpstr>
      <vt:lpstr>B8 DRX</vt:lpstr>
      <vt:lpstr>B20 PRX</vt:lpstr>
      <vt:lpstr>B20 DRX</vt:lpstr>
      <vt:lpstr>B38 PRX</vt:lpstr>
      <vt:lpstr>B38 DRX</vt:lpstr>
      <vt:lpstr>数据源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</dc:creator>
  <cp:lastModifiedBy>Yuchuan, PAN(SCD SMARTHINGS HWD-SZ-TCT)</cp:lastModifiedBy>
  <cp:lastPrinted>2013-11-01T17:33:26Z</cp:lastPrinted>
  <dcterms:created xsi:type="dcterms:W3CDTF">2011-01-07T23:38:03Z</dcterms:created>
  <dcterms:modified xsi:type="dcterms:W3CDTF">2017-11-02T04:06:42Z</dcterms:modified>
</cp:coreProperties>
</file>